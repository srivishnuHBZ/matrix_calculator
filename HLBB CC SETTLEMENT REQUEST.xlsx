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ckerBoyz\Desktop\GabrielGughan\MatrixCalculator\"/>
    </mc:Choice>
  </mc:AlternateContent>
  <xr:revisionPtr revIDLastSave="0" documentId="13_ncr:1_{CFABB3F9-DDB2-4C35-9BA7-90F7FECC9C6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Cards" sheetId="1" r:id="rId1"/>
  </sheets>
  <definedNames>
    <definedName name="_xlnm._FilterDatabase" localSheetId="0" hidden="1">Cards!$A$1:$BD$1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2" i="1" l="1"/>
  <c r="AR2" i="1"/>
  <c r="M5" i="1"/>
  <c r="M3" i="1"/>
  <c r="N3" i="1"/>
  <c r="O3" i="1"/>
  <c r="R3" i="1"/>
  <c r="AR3" i="1"/>
  <c r="AT3" i="1" s="1"/>
  <c r="AS3" i="1"/>
  <c r="AY3" i="1"/>
  <c r="M4" i="1"/>
  <c r="N4" i="1"/>
  <c r="O4" i="1"/>
  <c r="R4" i="1" s="1"/>
  <c r="AR4" i="1"/>
  <c r="AS4" i="1"/>
  <c r="AT4" i="1"/>
  <c r="AU4" i="1"/>
  <c r="AY4" i="1"/>
  <c r="BA4" i="1" s="1"/>
  <c r="BB4" i="1"/>
  <c r="N5" i="1"/>
  <c r="O5" i="1" s="1"/>
  <c r="R5" i="1" s="1"/>
  <c r="AR5" i="1"/>
  <c r="AT5" i="1" s="1"/>
  <c r="AS5" i="1"/>
  <c r="BC5" i="1" s="1"/>
  <c r="BD5" i="1" s="1"/>
  <c r="AU5" i="1"/>
  <c r="AY5" i="1"/>
  <c r="BA5" i="1"/>
  <c r="BB5" i="1"/>
  <c r="M6" i="1"/>
  <c r="N6" i="1"/>
  <c r="O6" i="1"/>
  <c r="R6" i="1"/>
  <c r="AR6" i="1"/>
  <c r="AU6" i="1" s="1"/>
  <c r="AS6" i="1"/>
  <c r="AT6" i="1"/>
  <c r="AY6" i="1"/>
  <c r="M7" i="1"/>
  <c r="N7" i="1"/>
  <c r="O7" i="1" s="1"/>
  <c r="R7" i="1"/>
  <c r="AR7" i="1"/>
  <c r="AS7" i="1"/>
  <c r="AT7" i="1"/>
  <c r="AU7" i="1"/>
  <c r="BA7" i="1" s="1"/>
  <c r="AY7" i="1"/>
  <c r="M8" i="1"/>
  <c r="N8" i="1"/>
  <c r="O8" i="1"/>
  <c r="R8" i="1" s="1"/>
  <c r="AR8" i="1"/>
  <c r="AY8" i="1"/>
  <c r="M9" i="1"/>
  <c r="N9" i="1"/>
  <c r="O9" i="1" s="1"/>
  <c r="R9" i="1" s="1"/>
  <c r="AR9" i="1"/>
  <c r="AS9" i="1"/>
  <c r="AT9" i="1"/>
  <c r="AU9" i="1"/>
  <c r="AY9" i="1"/>
  <c r="BB9" i="1" s="1"/>
  <c r="BA9" i="1"/>
  <c r="M10" i="1"/>
  <c r="N10" i="1"/>
  <c r="O10" i="1"/>
  <c r="R10" i="1" s="1"/>
  <c r="AR10" i="1"/>
  <c r="AU10" i="1"/>
  <c r="AY10" i="1"/>
  <c r="BB10" i="1" s="1"/>
  <c r="BA10" i="1"/>
  <c r="M11" i="1"/>
  <c r="N11" i="1"/>
  <c r="O11" i="1"/>
  <c r="R11" i="1"/>
  <c r="AR11" i="1"/>
  <c r="AT11" i="1" s="1"/>
  <c r="AS11" i="1"/>
  <c r="AY11" i="1"/>
  <c r="M12" i="1"/>
  <c r="N12" i="1"/>
  <c r="O12" i="1"/>
  <c r="R12" i="1" s="1"/>
  <c r="AR12" i="1"/>
  <c r="AS12" i="1"/>
  <c r="AT12" i="1"/>
  <c r="AU12" i="1"/>
  <c r="AY12" i="1"/>
  <c r="BA12" i="1" s="1"/>
  <c r="BB12" i="1"/>
  <c r="M13" i="1"/>
  <c r="N13" i="1"/>
  <c r="O13" i="1" s="1"/>
  <c r="R13" i="1" s="1"/>
  <c r="AR13" i="1"/>
  <c r="AT13" i="1" s="1"/>
  <c r="AS13" i="1"/>
  <c r="BC13" i="1" s="1"/>
  <c r="BD13" i="1" s="1"/>
  <c r="AU13" i="1"/>
  <c r="AY13" i="1"/>
  <c r="BA13" i="1"/>
  <c r="BB13" i="1"/>
  <c r="M14" i="1"/>
  <c r="N14" i="1"/>
  <c r="O14" i="1"/>
  <c r="R14" i="1"/>
  <c r="AR14" i="1"/>
  <c r="AU14" i="1" s="1"/>
  <c r="AS14" i="1"/>
  <c r="AT14" i="1"/>
  <c r="AY14" i="1"/>
  <c r="M15" i="1"/>
  <c r="N15" i="1"/>
  <c r="O15" i="1" s="1"/>
  <c r="R15" i="1"/>
  <c r="AR15" i="1"/>
  <c r="AS15" i="1"/>
  <c r="AT15" i="1"/>
  <c r="AU15" i="1"/>
  <c r="BA15" i="1" s="1"/>
  <c r="AY15" i="1"/>
  <c r="M16" i="1"/>
  <c r="N16" i="1"/>
  <c r="O16" i="1"/>
  <c r="R16" i="1" s="1"/>
  <c r="AR16" i="1"/>
  <c r="AY16" i="1"/>
  <c r="M17" i="1"/>
  <c r="N17" i="1"/>
  <c r="O17" i="1" s="1"/>
  <c r="R17" i="1" s="1"/>
  <c r="AR17" i="1"/>
  <c r="AS17" i="1"/>
  <c r="AT17" i="1"/>
  <c r="AU17" i="1"/>
  <c r="AY17" i="1"/>
  <c r="BB17" i="1" s="1"/>
  <c r="BA17" i="1"/>
  <c r="M18" i="1"/>
  <c r="N18" i="1"/>
  <c r="O18" i="1"/>
  <c r="R18" i="1" s="1"/>
  <c r="AR18" i="1"/>
  <c r="AU18" i="1"/>
  <c r="AY18" i="1"/>
  <c r="BB18" i="1" s="1"/>
  <c r="BA18" i="1"/>
  <c r="M19" i="1"/>
  <c r="N19" i="1"/>
  <c r="O19" i="1"/>
  <c r="R19" i="1"/>
  <c r="AR19" i="1"/>
  <c r="AT19" i="1" s="1"/>
  <c r="AS19" i="1"/>
  <c r="AY19" i="1"/>
  <c r="M20" i="1"/>
  <c r="N20" i="1"/>
  <c r="O20" i="1"/>
  <c r="R20" i="1" s="1"/>
  <c r="AR20" i="1"/>
  <c r="AS20" i="1"/>
  <c r="AT20" i="1"/>
  <c r="AU20" i="1"/>
  <c r="AY20" i="1"/>
  <c r="BA20" i="1" s="1"/>
  <c r="BB20" i="1"/>
  <c r="M21" i="1"/>
  <c r="N21" i="1"/>
  <c r="O21" i="1" s="1"/>
  <c r="R21" i="1" s="1"/>
  <c r="AR21" i="1"/>
  <c r="AT21" i="1" s="1"/>
  <c r="AS21" i="1"/>
  <c r="AY21" i="1"/>
  <c r="M22" i="1"/>
  <c r="N22" i="1"/>
  <c r="O22" i="1"/>
  <c r="R22" i="1"/>
  <c r="AR22" i="1"/>
  <c r="AU22" i="1" s="1"/>
  <c r="AS22" i="1"/>
  <c r="AT22" i="1"/>
  <c r="AY22" i="1"/>
  <c r="M23" i="1"/>
  <c r="N23" i="1"/>
  <c r="O23" i="1" s="1"/>
  <c r="R23" i="1"/>
  <c r="AR23" i="1"/>
  <c r="AS23" i="1"/>
  <c r="AT23" i="1"/>
  <c r="AU23" i="1"/>
  <c r="AY23" i="1"/>
  <c r="BB23" i="1" s="1"/>
  <c r="M24" i="1"/>
  <c r="N24" i="1"/>
  <c r="O24" i="1"/>
  <c r="R24" i="1"/>
  <c r="AR24" i="1"/>
  <c r="AT24" i="1"/>
  <c r="AY24" i="1"/>
  <c r="M25" i="1"/>
  <c r="N25" i="1"/>
  <c r="O25" i="1" s="1"/>
  <c r="R25" i="1" s="1"/>
  <c r="AR25" i="1"/>
  <c r="AS25" i="1" s="1"/>
  <c r="AU25" i="1"/>
  <c r="AY25" i="1"/>
  <c r="BB25" i="1" s="1"/>
  <c r="BA25" i="1"/>
  <c r="M26" i="1"/>
  <c r="N26" i="1"/>
  <c r="O26" i="1" s="1"/>
  <c r="R26" i="1" s="1"/>
  <c r="AR26" i="1"/>
  <c r="AU26" i="1"/>
  <c r="AY26" i="1"/>
  <c r="BA26" i="1"/>
  <c r="BB26" i="1"/>
  <c r="M27" i="1"/>
  <c r="N27" i="1"/>
  <c r="O27" i="1"/>
  <c r="R27" i="1"/>
  <c r="AR27" i="1"/>
  <c r="AT27" i="1" s="1"/>
  <c r="AS27" i="1"/>
  <c r="AU27" i="1"/>
  <c r="BA27" i="1" s="1"/>
  <c r="AY27" i="1"/>
  <c r="M28" i="1"/>
  <c r="N28" i="1"/>
  <c r="O28" i="1"/>
  <c r="R28" i="1" s="1"/>
  <c r="AR28" i="1"/>
  <c r="AS28" i="1"/>
  <c r="AT28" i="1"/>
  <c r="AU28" i="1"/>
  <c r="AY28" i="1"/>
  <c r="BA28" i="1" s="1"/>
  <c r="BB28" i="1"/>
  <c r="M29" i="1"/>
  <c r="N29" i="1"/>
  <c r="O29" i="1"/>
  <c r="R29" i="1" s="1"/>
  <c r="AR29" i="1"/>
  <c r="AT29" i="1" s="1"/>
  <c r="AS29" i="1"/>
  <c r="AY29" i="1"/>
  <c r="M30" i="1"/>
  <c r="N30" i="1"/>
  <c r="O30" i="1"/>
  <c r="R30" i="1"/>
  <c r="AR30" i="1"/>
  <c r="AS30" i="1"/>
  <c r="AT30" i="1"/>
  <c r="AU30" i="1"/>
  <c r="AY30" i="1"/>
  <c r="M31" i="1"/>
  <c r="N31" i="1"/>
  <c r="O31" i="1"/>
  <c r="R31" i="1"/>
  <c r="AR31" i="1"/>
  <c r="AS31" i="1"/>
  <c r="AT31" i="1"/>
  <c r="AU31" i="1"/>
  <c r="BA31" i="1" s="1"/>
  <c r="BC31" i="1" s="1"/>
  <c r="BD31" i="1" s="1"/>
  <c r="AY31" i="1"/>
  <c r="BB31" i="1"/>
  <c r="M32" i="1"/>
  <c r="N32" i="1"/>
  <c r="O32" i="1" s="1"/>
  <c r="R32" i="1" s="1"/>
  <c r="AR32" i="1"/>
  <c r="AU32" i="1" s="1"/>
  <c r="AS32" i="1"/>
  <c r="BC32" i="1" s="1"/>
  <c r="BD32" i="1" s="1"/>
  <c r="AT32" i="1"/>
  <c r="AY32" i="1"/>
  <c r="BA32" i="1"/>
  <c r="BB32" i="1"/>
  <c r="M33" i="1"/>
  <c r="N33" i="1"/>
  <c r="O33" i="1" s="1"/>
  <c r="R33" i="1" s="1"/>
  <c r="AR33" i="1"/>
  <c r="AS33" i="1"/>
  <c r="AT33" i="1"/>
  <c r="AU33" i="1"/>
  <c r="BA33" i="1" s="1"/>
  <c r="AY33" i="1"/>
  <c r="M34" i="1"/>
  <c r="N34" i="1"/>
  <c r="O34" i="1"/>
  <c r="R34" i="1"/>
  <c r="AR34" i="1"/>
  <c r="AU34" i="1" s="1"/>
  <c r="AY34" i="1"/>
  <c r="BA34" i="1" s="1"/>
  <c r="M35" i="1"/>
  <c r="N35" i="1"/>
  <c r="O35" i="1"/>
  <c r="R35" i="1"/>
  <c r="AR35" i="1"/>
  <c r="AS35" i="1"/>
  <c r="BC35" i="1" s="1"/>
  <c r="BD35" i="1" s="1"/>
  <c r="AT35" i="1"/>
  <c r="AU35" i="1"/>
  <c r="BA35" i="1" s="1"/>
  <c r="AY35" i="1"/>
  <c r="BB35" i="1"/>
  <c r="M36" i="1"/>
  <c r="N36" i="1"/>
  <c r="O36" i="1"/>
  <c r="R36" i="1" s="1"/>
  <c r="AR36" i="1"/>
  <c r="AS36" i="1"/>
  <c r="AT36" i="1"/>
  <c r="AU36" i="1"/>
  <c r="AY36" i="1"/>
  <c r="BA36" i="1" s="1"/>
  <c r="M37" i="1"/>
  <c r="N37" i="1"/>
  <c r="O37" i="1"/>
  <c r="R37" i="1"/>
  <c r="AR37" i="1"/>
  <c r="AS37" i="1"/>
  <c r="AY37" i="1"/>
  <c r="M38" i="1"/>
  <c r="N38" i="1"/>
  <c r="O38" i="1"/>
  <c r="R38" i="1"/>
  <c r="AR38" i="1"/>
  <c r="AS38" i="1"/>
  <c r="AT38" i="1"/>
  <c r="AU38" i="1"/>
  <c r="AY38" i="1"/>
  <c r="M39" i="1"/>
  <c r="N39" i="1"/>
  <c r="O39" i="1"/>
  <c r="R39" i="1"/>
  <c r="AR39" i="1"/>
  <c r="AS39" i="1"/>
  <c r="AT39" i="1"/>
  <c r="AU39" i="1"/>
  <c r="BA39" i="1" s="1"/>
  <c r="BC39" i="1" s="1"/>
  <c r="BD39" i="1" s="1"/>
  <c r="AY39" i="1"/>
  <c r="BB39" i="1"/>
  <c r="M40" i="1"/>
  <c r="N40" i="1"/>
  <c r="O40" i="1" s="1"/>
  <c r="R40" i="1" s="1"/>
  <c r="AR40" i="1"/>
  <c r="AU40" i="1" s="1"/>
  <c r="AS40" i="1"/>
  <c r="BC40" i="1" s="1"/>
  <c r="BD40" i="1" s="1"/>
  <c r="AT40" i="1"/>
  <c r="AY40" i="1"/>
  <c r="BA40" i="1"/>
  <c r="BB40" i="1"/>
  <c r="M41" i="1"/>
  <c r="N41" i="1"/>
  <c r="O41" i="1" s="1"/>
  <c r="R41" i="1" s="1"/>
  <c r="AR41" i="1"/>
  <c r="AS41" i="1"/>
  <c r="AT41" i="1"/>
  <c r="AU41" i="1"/>
  <c r="BA41" i="1" s="1"/>
  <c r="AY41" i="1"/>
  <c r="M42" i="1"/>
  <c r="N42" i="1"/>
  <c r="O42" i="1"/>
  <c r="R42" i="1"/>
  <c r="AR42" i="1"/>
  <c r="AU42" i="1" s="1"/>
  <c r="AY42" i="1"/>
  <c r="BA42" i="1" s="1"/>
  <c r="M43" i="1"/>
  <c r="N43" i="1"/>
  <c r="O43" i="1"/>
  <c r="R43" i="1"/>
  <c r="AR43" i="1"/>
  <c r="AS43" i="1"/>
  <c r="BC43" i="1" s="1"/>
  <c r="BD43" i="1" s="1"/>
  <c r="AT43" i="1"/>
  <c r="AU43" i="1"/>
  <c r="BA43" i="1" s="1"/>
  <c r="AY43" i="1"/>
  <c r="BB43" i="1"/>
  <c r="M44" i="1"/>
  <c r="N44" i="1"/>
  <c r="O44" i="1"/>
  <c r="R44" i="1" s="1"/>
  <c r="AR44" i="1"/>
  <c r="AU44" i="1" s="1"/>
  <c r="AS44" i="1"/>
  <c r="AT44" i="1"/>
  <c r="AY44" i="1"/>
  <c r="BA44" i="1" s="1"/>
  <c r="M45" i="1"/>
  <c r="N45" i="1"/>
  <c r="O45" i="1"/>
  <c r="R45" i="1" s="1"/>
  <c r="AR45" i="1"/>
  <c r="AT45" i="1" s="1"/>
  <c r="AY45" i="1"/>
  <c r="M46" i="1"/>
  <c r="N46" i="1"/>
  <c r="O46" i="1"/>
  <c r="R46" i="1"/>
  <c r="AR46" i="1"/>
  <c r="AU46" i="1" s="1"/>
  <c r="AS46" i="1"/>
  <c r="AT46" i="1"/>
  <c r="AY46" i="1"/>
  <c r="M47" i="1"/>
  <c r="N47" i="1"/>
  <c r="O47" i="1"/>
  <c r="R47" i="1" s="1"/>
  <c r="AR47" i="1"/>
  <c r="AS47" i="1"/>
  <c r="AT47" i="1"/>
  <c r="BC47" i="1" s="1"/>
  <c r="BD47" i="1" s="1"/>
  <c r="AU47" i="1"/>
  <c r="AY47" i="1"/>
  <c r="BA47" i="1"/>
  <c r="BB47" i="1"/>
  <c r="M48" i="1"/>
  <c r="N48" i="1"/>
  <c r="O48" i="1"/>
  <c r="R48" i="1"/>
  <c r="AR48" i="1"/>
  <c r="AU48" i="1" s="1"/>
  <c r="BA48" i="1" s="1"/>
  <c r="AS48" i="1"/>
  <c r="AT48" i="1"/>
  <c r="AY48" i="1"/>
  <c r="BB48" i="1" s="1"/>
  <c r="AL2" i="1"/>
  <c r="BC22" i="1" l="1"/>
  <c r="BD22" i="1" s="1"/>
  <c r="BC15" i="1"/>
  <c r="BD15" i="1" s="1"/>
  <c r="BC48" i="1"/>
  <c r="BD48" i="1" s="1"/>
  <c r="BC25" i="1"/>
  <c r="BD25" i="1" s="1"/>
  <c r="BC7" i="1"/>
  <c r="BD7" i="1" s="1"/>
  <c r="BA46" i="1"/>
  <c r="BC46" i="1" s="1"/>
  <c r="BD46" i="1" s="1"/>
  <c r="BB27" i="1"/>
  <c r="BC27" i="1" s="1"/>
  <c r="BD27" i="1" s="1"/>
  <c r="BC20" i="1"/>
  <c r="BD20" i="1" s="1"/>
  <c r="AU16" i="1"/>
  <c r="AS16" i="1"/>
  <c r="BC12" i="1"/>
  <c r="BD12" i="1" s="1"/>
  <c r="AU8" i="1"/>
  <c r="AS8" i="1"/>
  <c r="BC4" i="1"/>
  <c r="BD4" i="1" s="1"/>
  <c r="BB41" i="1"/>
  <c r="BC41" i="1" s="1"/>
  <c r="BD41" i="1" s="1"/>
  <c r="AT37" i="1"/>
  <c r="AU37" i="1"/>
  <c r="BB33" i="1"/>
  <c r="BC33" i="1" s="1"/>
  <c r="BD33" i="1" s="1"/>
  <c r="BC28" i="1"/>
  <c r="BD28" i="1" s="1"/>
  <c r="AU24" i="1"/>
  <c r="AS24" i="1"/>
  <c r="AU19" i="1"/>
  <c r="BA14" i="1"/>
  <c r="BC14" i="1" s="1"/>
  <c r="BD14" i="1" s="1"/>
  <c r="BB14" i="1"/>
  <c r="AU11" i="1"/>
  <c r="BA6" i="1"/>
  <c r="BC6" i="1" s="1"/>
  <c r="BD6" i="1" s="1"/>
  <c r="BB6" i="1"/>
  <c r="AU3" i="1"/>
  <c r="AS34" i="1"/>
  <c r="AT34" i="1"/>
  <c r="AS42" i="1"/>
  <c r="AT42" i="1"/>
  <c r="BA30" i="1"/>
  <c r="BB30" i="1"/>
  <c r="BC30" i="1" s="1"/>
  <c r="BD30" i="1" s="1"/>
  <c r="BA22" i="1"/>
  <c r="BB22" i="1"/>
  <c r="BA38" i="1"/>
  <c r="BC38" i="1" s="1"/>
  <c r="BD38" i="1" s="1"/>
  <c r="BB38" i="1"/>
  <c r="AS18" i="1"/>
  <c r="AT18" i="1"/>
  <c r="AS10" i="1"/>
  <c r="AT10" i="1"/>
  <c r="AU45" i="1"/>
  <c r="BB44" i="1"/>
  <c r="BC44" i="1" s="1"/>
  <c r="BD44" i="1" s="1"/>
  <c r="BB42" i="1"/>
  <c r="BB36" i="1"/>
  <c r="BC36" i="1" s="1"/>
  <c r="BD36" i="1" s="1"/>
  <c r="BB34" i="1"/>
  <c r="AS26" i="1"/>
  <c r="BC26" i="1" s="1"/>
  <c r="BD26" i="1" s="1"/>
  <c r="AT26" i="1"/>
  <c r="AT25" i="1"/>
  <c r="BC17" i="1"/>
  <c r="BD17" i="1" s="1"/>
  <c r="BC9" i="1"/>
  <c r="BD9" i="1" s="1"/>
  <c r="BB46" i="1"/>
  <c r="AS45" i="1"/>
  <c r="BA23" i="1"/>
  <c r="BC23" i="1" s="1"/>
  <c r="BD23" i="1" s="1"/>
  <c r="AT16" i="1"/>
  <c r="BB15" i="1"/>
  <c r="AT8" i="1"/>
  <c r="BB7" i="1"/>
  <c r="AU29" i="1"/>
  <c r="AU21" i="1"/>
  <c r="N2" i="1"/>
  <c r="O2" i="1" s="1"/>
  <c r="R2" i="1" s="1"/>
  <c r="M2" i="1"/>
  <c r="BC16" i="1" l="1"/>
  <c r="BD16" i="1" s="1"/>
  <c r="BC18" i="1"/>
  <c r="BD18" i="1" s="1"/>
  <c r="BA11" i="1"/>
  <c r="BC11" i="1" s="1"/>
  <c r="BD11" i="1" s="1"/>
  <c r="BB11" i="1"/>
  <c r="BA37" i="1"/>
  <c r="BC37" i="1" s="1"/>
  <c r="BD37" i="1" s="1"/>
  <c r="BB37" i="1"/>
  <c r="BA16" i="1"/>
  <c r="BB16" i="1"/>
  <c r="BB21" i="1"/>
  <c r="BA21" i="1"/>
  <c r="BC21" i="1" s="1"/>
  <c r="BD21" i="1" s="1"/>
  <c r="BC42" i="1"/>
  <c r="BD42" i="1" s="1"/>
  <c r="BA29" i="1"/>
  <c r="BC29" i="1" s="1"/>
  <c r="BD29" i="1" s="1"/>
  <c r="BB29" i="1"/>
  <c r="BA19" i="1"/>
  <c r="BC19" i="1" s="1"/>
  <c r="BD19" i="1" s="1"/>
  <c r="BB19" i="1"/>
  <c r="BA45" i="1"/>
  <c r="BC45" i="1" s="1"/>
  <c r="BD45" i="1" s="1"/>
  <c r="BB45" i="1"/>
  <c r="BC34" i="1"/>
  <c r="BD34" i="1" s="1"/>
  <c r="BA3" i="1"/>
  <c r="BB3" i="1"/>
  <c r="BA24" i="1"/>
  <c r="BC24" i="1" s="1"/>
  <c r="BD24" i="1" s="1"/>
  <c r="BB24" i="1"/>
  <c r="BA8" i="1"/>
  <c r="BC8" i="1" s="1"/>
  <c r="BD8" i="1" s="1"/>
  <c r="BB8" i="1"/>
  <c r="BC10" i="1"/>
  <c r="BD10" i="1" s="1"/>
  <c r="AY2" i="1"/>
  <c r="AU2" i="1"/>
  <c r="BC3" i="1" l="1"/>
  <c r="BD3" i="1" s="1"/>
  <c r="BA2" i="1"/>
  <c r="AS2" i="1"/>
  <c r="AT2" i="1"/>
  <c r="BD2" i="1" l="1"/>
</calcChain>
</file>

<file path=xl/sharedStrings.xml><?xml version="1.0" encoding="utf-8"?>
<sst xmlns="http://schemas.openxmlformats.org/spreadsheetml/2006/main" count="349" uniqueCount="69">
  <si>
    <t xml:space="preserve">No. </t>
  </si>
  <si>
    <t>Date of Submission</t>
  </si>
  <si>
    <t>Customer ID</t>
  </si>
  <si>
    <t>Cardholder Name</t>
  </si>
  <si>
    <t>Card Numbers</t>
  </si>
  <si>
    <t>Charged Off Date</t>
  </si>
  <si>
    <t>Total Credit Limit</t>
  </si>
  <si>
    <t>Principal Outstanding</t>
  </si>
  <si>
    <t>Total Current Outstanding Balance</t>
  </si>
  <si>
    <t>Projected Outstanding Balance</t>
  </si>
  <si>
    <t>Proposed Settlement Amount</t>
  </si>
  <si>
    <t>Projected Waiver Request on Interest / Late Charge / Other Charges</t>
  </si>
  <si>
    <t>Repayment Period</t>
  </si>
  <si>
    <t>Tier 1 Start Date</t>
  </si>
  <si>
    <t>Tier 1 Installments</t>
  </si>
  <si>
    <t>Tier 2 Start Date</t>
  </si>
  <si>
    <t>Tier 2 Installments</t>
  </si>
  <si>
    <t>Tier 3 Start Date</t>
  </si>
  <si>
    <t>Tier 3 Installments</t>
  </si>
  <si>
    <t>Connected Parties
(Y/N)</t>
  </si>
  <si>
    <t>Legal Status</t>
  </si>
  <si>
    <t>Legal Status Date</t>
  </si>
  <si>
    <t>Law Firm Name</t>
  </si>
  <si>
    <t>Lawyer Reference No</t>
  </si>
  <si>
    <t>Summons No</t>
  </si>
  <si>
    <t>Source of Repayment</t>
  </si>
  <si>
    <t>Customer's Contact Number</t>
  </si>
  <si>
    <t>Customer's Email Address</t>
  </si>
  <si>
    <t>Justification on Waiver</t>
  </si>
  <si>
    <t>Prepared By</t>
  </si>
  <si>
    <t>Reviewed By</t>
  </si>
  <si>
    <t>Recommendation / Approval by Unit Head</t>
  </si>
  <si>
    <t>Approval by GM</t>
  </si>
  <si>
    <t>Approval by CCO</t>
  </si>
  <si>
    <t>DCA Name (Drop Down List)</t>
  </si>
  <si>
    <t>AM/PM Batch (Drop Down List)</t>
  </si>
  <si>
    <t>Proposed Settlement Type (Lump Sum / ATP) (Drop Down List)</t>
  </si>
  <si>
    <t>Additional Projected Interest</t>
  </si>
  <si>
    <t>Total Interest / Late Charge / Other Charges</t>
  </si>
  <si>
    <t>Projected Interest (60%)</t>
  </si>
  <si>
    <t>Projected Late Fee (30%)</t>
  </si>
  <si>
    <t>Projected Fees paid by Bank (10%)</t>
  </si>
  <si>
    <t>Waiver % on Interest</t>
  </si>
  <si>
    <t>Waiver % in Late Charges</t>
  </si>
  <si>
    <t>Waiver % in Fees paid by Bank</t>
  </si>
  <si>
    <t>Principal</t>
  </si>
  <si>
    <t>Waiver in Princpal</t>
  </si>
  <si>
    <t>N</t>
  </si>
  <si>
    <t>NIL</t>
  </si>
  <si>
    <t>Bank Settlement Matrix (Amount)</t>
  </si>
  <si>
    <t xml:space="preserve"> Total Accrued Interest / Late Charge / Other Charges </t>
  </si>
  <si>
    <t xml:space="preserve">As Per Bank Matrix (Yes /No) </t>
  </si>
  <si>
    <t>Operating cost (Principal &gt; 0) @ 3.5p.a. x Fees paid by Bank</t>
  </si>
  <si>
    <t>Operating cost (Principal &lt; 0) @ 5.0p.a. x Fees paid by Bank</t>
  </si>
  <si>
    <t>If No, Relationship with customer</t>
  </si>
  <si>
    <t>Third Party IC No.</t>
  </si>
  <si>
    <t>Own Contact Number/Email
(Y/N)</t>
  </si>
  <si>
    <t>Account Number</t>
  </si>
  <si>
    <t>PROLCASS</t>
  </si>
  <si>
    <t>AM</t>
  </si>
  <si>
    <t>LOW SIEW LIAN</t>
  </si>
  <si>
    <t>300714646940</t>
  </si>
  <si>
    <t>LUMP SUM</t>
  </si>
  <si>
    <t>SAVING</t>
  </si>
  <si>
    <t>60167239991</t>
  </si>
  <si>
    <t>Y</t>
  </si>
  <si>
    <t>5487870002527601 / 4293209206130648</t>
  </si>
  <si>
    <t>IB650714015322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</si>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</sst>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14409]dd/mm/yyyy;@"/>
    <numFmt numFmtId="166" formatCode="0000000000000000"/>
    <numFmt numFmtId="167" formatCode="_(* #,##0.00_);_(* \(#,##0.00\);_(* \-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8" tint="0.39997558519241921"/>
      </top>
      <bottom style="thin">
        <color theme="8" tint="0.3999755851924192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/>
    <xf numFmtId="167" fontId="8" fillId="0" borderId="0" applyFill="0" applyBorder="0" applyAlignment="0" applyProtection="0"/>
  </cellStyleXfs>
  <cellXfs count="78">
    <xf numFmtId="0" fontId="0" fillId="0" borderId="0" xfId="0"/>
    <xf numFmtId="43" fontId="0" fillId="0" borderId="1" xfId="1" applyFont="1" applyBorder="1" applyAlignment="1" applyProtection="1">
      <alignment horizontal="center" vertical="center"/>
      <protection locked="0"/>
    </xf>
    <xf numFmtId="9" fontId="3" fillId="3" borderId="1" xfId="2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0" fillId="0" borderId="1" xfId="2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164" fontId="2" fillId="3" borderId="1" xfId="3" applyFont="1" applyFill="1" applyBorder="1" applyAlignment="1" applyProtection="1">
      <alignment horizontal="center" vertical="center" wrapText="1"/>
      <protection locked="0"/>
    </xf>
    <xf numFmtId="0" fontId="2" fillId="3" borderId="1" xfId="3" applyNumberFormat="1" applyFont="1" applyFill="1" applyBorder="1" applyAlignment="1" applyProtection="1">
      <alignment horizontal="center" vertical="center" wrapText="1"/>
      <protection locked="0"/>
    </xf>
    <xf numFmtId="164" fontId="3" fillId="3" borderId="1" xfId="3" applyFont="1" applyFill="1" applyBorder="1" applyAlignment="1">
      <alignment horizontal="center" vertical="center" wrapText="1"/>
    </xf>
    <xf numFmtId="165" fontId="0" fillId="0" borderId="0" xfId="0" applyNumberFormat="1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9" fontId="0" fillId="0" borderId="0" xfId="2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Alignment="1" applyProtection="1">
      <alignment horizontal="left" wrapText="1"/>
      <protection locked="0"/>
    </xf>
    <xf numFmtId="49" fontId="0" fillId="0" borderId="0" xfId="0" applyNumberFormat="1" applyProtection="1">
      <protection locked="0"/>
    </xf>
    <xf numFmtId="43" fontId="0" fillId="0" borderId="0" xfId="1" applyFont="1" applyBorder="1" applyAlignment="1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4" borderId="1" xfId="3" applyNumberFormat="1" applyFont="1" applyFill="1" applyBorder="1" applyAlignment="1" applyProtection="1">
      <alignment horizontal="center" vertical="center" wrapText="1"/>
      <protection locked="0"/>
    </xf>
    <xf numFmtId="4" fontId="2" fillId="4" borderId="1" xfId="3" applyNumberFormat="1" applyFont="1" applyFill="1" applyBorder="1" applyAlignment="1" applyProtection="1">
      <alignment horizontal="center" vertical="center" wrapText="1"/>
      <protection locked="0"/>
    </xf>
    <xf numFmtId="43" fontId="0" fillId="0" borderId="1" xfId="0" applyNumberFormat="1" applyBorder="1" applyAlignment="1" applyProtection="1">
      <alignment horizontal="center" vertical="center"/>
      <protection locked="0"/>
    </xf>
    <xf numFmtId="9" fontId="0" fillId="0" borderId="1" xfId="0" applyNumberForma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quotePrefix="1" applyBorder="1" applyAlignment="1" applyProtection="1">
      <alignment horizontal="left" vertical="center" wrapText="1"/>
      <protection locked="0"/>
    </xf>
    <xf numFmtId="43" fontId="6" fillId="0" borderId="1" xfId="1" applyFont="1" applyFill="1" applyBorder="1" applyAlignment="1" applyProtection="1">
      <alignment horizontal="center" vertical="center"/>
      <protection locked="0"/>
    </xf>
    <xf numFmtId="43" fontId="6" fillId="0" borderId="1" xfId="0" applyNumberFormat="1" applyFont="1" applyBorder="1" applyAlignment="1">
      <alignment horizontal="center" vertical="center"/>
    </xf>
    <xf numFmtId="43" fontId="6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49" fontId="0" fillId="0" borderId="1" xfId="0" applyNumberFormat="1" applyBorder="1" applyAlignment="1" applyProtection="1">
      <alignment horizontal="left" vertical="center" wrapText="1"/>
      <protection locked="0"/>
    </xf>
    <xf numFmtId="49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quotePrefix="1" applyNumberFormat="1" applyBorder="1" applyAlignment="1">
      <alignment horizontal="left" vertical="center" wrapText="1"/>
    </xf>
    <xf numFmtId="43" fontId="0" fillId="0" borderId="1" xfId="1" applyFont="1" applyBorder="1" applyAlignment="1">
      <alignment horizontal="center" vertical="center"/>
    </xf>
    <xf numFmtId="0" fontId="0" fillId="0" borderId="1" xfId="3" applyNumberFormat="1" applyFont="1" applyBorder="1" applyAlignment="1">
      <alignment horizontal="center" vertical="center"/>
    </xf>
    <xf numFmtId="165" fontId="0" fillId="0" borderId="1" xfId="3" applyNumberFormat="1" applyFont="1" applyBorder="1" applyAlignment="1">
      <alignment horizontal="center" vertical="center"/>
    </xf>
    <xf numFmtId="49" fontId="5" fillId="0" borderId="1" xfId="4" applyNumberFormat="1" applyBorder="1" applyAlignment="1">
      <alignment horizontal="center" vertical="center"/>
    </xf>
    <xf numFmtId="43" fontId="0" fillId="0" borderId="1" xfId="1" quotePrefix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5" fillId="0" borderId="1" xfId="4" applyNumberFormat="1" applyFill="1" applyBorder="1" applyAlignment="1" applyProtection="1">
      <alignment horizontal="center" vertical="center" wrapText="1"/>
    </xf>
    <xf numFmtId="49" fontId="5" fillId="0" borderId="1" xfId="4" applyNumberFormat="1" applyBorder="1" applyAlignment="1" applyProtection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9" fillId="0" borderId="1" xfId="6" applyFont="1" applyBorder="1" applyAlignment="1">
      <alignment horizontal="center" vertical="center"/>
    </xf>
    <xf numFmtId="165" fontId="9" fillId="0" borderId="1" xfId="6" applyNumberFormat="1" applyFont="1" applyBorder="1" applyAlignment="1">
      <alignment horizontal="center" vertical="center"/>
    </xf>
    <xf numFmtId="0" fontId="9" fillId="0" borderId="1" xfId="6" applyFont="1" applyBorder="1" applyAlignment="1">
      <alignment horizontal="left" vertical="center" wrapText="1"/>
    </xf>
    <xf numFmtId="49" fontId="9" fillId="0" borderId="1" xfId="6" applyNumberFormat="1" applyFont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49" fontId="0" fillId="5" borderId="1" xfId="0" applyNumberFormat="1" applyFill="1" applyBorder="1" applyAlignment="1">
      <alignment horizontal="left" vertical="center" wrapText="1"/>
    </xf>
    <xf numFmtId="0" fontId="1" fillId="0" borderId="1" xfId="1" applyNumberFormat="1" applyFont="1" applyBorder="1" applyAlignment="1">
      <alignment horizontal="center" vertical="center"/>
    </xf>
    <xf numFmtId="43" fontId="1" fillId="0" borderId="1" xfId="1" applyFont="1" applyBorder="1" applyAlignment="1">
      <alignment horizontal="center" vertical="center"/>
    </xf>
    <xf numFmtId="0" fontId="9" fillId="0" borderId="1" xfId="7" applyNumberFormat="1" applyFont="1" applyFill="1" applyBorder="1" applyAlignment="1" applyProtection="1">
      <alignment horizontal="center" vertical="center"/>
    </xf>
    <xf numFmtId="43" fontId="9" fillId="0" borderId="1" xfId="1" applyFont="1" applyFill="1" applyBorder="1" applyAlignment="1" applyProtection="1">
      <alignment horizontal="center" vertical="center"/>
    </xf>
    <xf numFmtId="165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2" fillId="4" borderId="1" xfId="3" applyFont="1" applyFill="1" applyBorder="1" applyAlignment="1" applyProtection="1">
      <alignment horizontal="center" vertical="center" wrapText="1"/>
      <protection locked="0"/>
    </xf>
    <xf numFmtId="9" fontId="3" fillId="4" borderId="1" xfId="2" applyFont="1" applyFill="1" applyBorder="1" applyAlignment="1">
      <alignment horizontal="center" vertical="center" wrapText="1"/>
    </xf>
    <xf numFmtId="164" fontId="3" fillId="4" borderId="1" xfId="3" applyFont="1" applyFill="1" applyBorder="1" applyAlignment="1">
      <alignment horizontal="center" vertical="center" wrapText="1"/>
    </xf>
    <xf numFmtId="166" fontId="0" fillId="0" borderId="1" xfId="0" quotePrefix="1" applyNumberFormat="1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 wrapText="1"/>
    </xf>
    <xf numFmtId="43" fontId="0" fillId="0" borderId="1" xfId="1" applyFont="1" applyFill="1" applyBorder="1" applyAlignment="1" applyProtection="1">
      <alignment horizontal="center" vertical="center"/>
      <protection locked="0"/>
    </xf>
    <xf numFmtId="164" fontId="0" fillId="0" borderId="2" xfId="3" applyFont="1" applyFill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43" fontId="1" fillId="0" borderId="1" xfId="1" applyFont="1" applyFill="1" applyBorder="1" applyAlignment="1">
      <alignment horizontal="center" vertical="center"/>
    </xf>
    <xf numFmtId="0" fontId="0" fillId="0" borderId="1" xfId="3" applyNumberFormat="1" applyFont="1" applyFill="1" applyBorder="1" applyAlignment="1">
      <alignment horizontal="center" vertical="center"/>
    </xf>
    <xf numFmtId="165" fontId="0" fillId="0" borderId="1" xfId="3" applyNumberFormat="1" applyFont="1" applyFill="1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49" fontId="5" fillId="0" borderId="1" xfId="4" applyNumberFormat="1" applyFill="1" applyBorder="1" applyAlignment="1">
      <alignment horizontal="center" vertical="center"/>
    </xf>
    <xf numFmtId="9" fontId="0" fillId="0" borderId="1" xfId="2" applyFont="1" applyFill="1" applyBorder="1" applyAlignment="1" applyProtection="1">
      <alignment horizontal="center" vertical="center"/>
      <protection locked="0"/>
    </xf>
    <xf numFmtId="0" fontId="0" fillId="0" borderId="1" xfId="0" quotePrefix="1" applyBorder="1" applyAlignment="1" applyProtection="1">
      <alignment horizontal="center" vertical="center"/>
      <protection locked="0"/>
    </xf>
  </cellXfs>
  <cellStyles count="8">
    <cellStyle name="Comma" xfId="1" builtinId="3"/>
    <cellStyle name="Comma 2" xfId="3" xr:uid="{00000000-0005-0000-0000-000001000000}"/>
    <cellStyle name="Comma 3" xfId="7" xr:uid="{00000000-0005-0000-0000-000002000000}"/>
    <cellStyle name="Hyperlink" xfId="4" builtinId="8"/>
    <cellStyle name="Hyperlink 5" xfId="5" xr:uid="{00000000-0005-0000-0000-000004000000}"/>
    <cellStyle name="Normal" xfId="0" builtinId="0"/>
    <cellStyle name="Normal 2" xfId="6" xr:uid="{00000000-0005-0000-0000-000006000000}"/>
    <cellStyle name="Percent" xfId="2" builtinId="5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2D28DC-2F2A-4B6F-863A-282C4E047B90}"/>
            </a:ext>
          </a:extLst>
        </xdr:cNvPr>
        <xdr:cNvSpPr txBox="1"/>
      </xdr:nvSpPr>
      <xdr:spPr>
        <a:xfrm>
          <a:off x="5434166" y="1424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C83C97-4AD8-4FF0-AAC8-7F164FB95AF5}"/>
            </a:ext>
          </a:extLst>
        </xdr:cNvPr>
        <xdr:cNvSpPr txBox="1"/>
      </xdr:nvSpPr>
      <xdr:spPr>
        <a:xfrm>
          <a:off x="4961726" y="1424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357AC1-0D48-42EF-A5B1-F165587739D5}"/>
            </a:ext>
          </a:extLst>
        </xdr:cNvPr>
        <xdr:cNvSpPr txBox="1"/>
      </xdr:nvSpPr>
      <xdr:spPr>
        <a:xfrm>
          <a:off x="4961726" y="1424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E962931-0DBC-463B-B733-52AE1FC85E8C}"/>
            </a:ext>
          </a:extLst>
        </xdr:cNvPr>
        <xdr:cNvSpPr txBox="1"/>
      </xdr:nvSpPr>
      <xdr:spPr>
        <a:xfrm>
          <a:off x="4961726" y="1607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F61AC1-DF5E-49A8-A03F-F54BE6D05813}"/>
            </a:ext>
          </a:extLst>
        </xdr:cNvPr>
        <xdr:cNvSpPr txBox="1"/>
      </xdr:nvSpPr>
      <xdr:spPr>
        <a:xfrm>
          <a:off x="4961726" y="17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F0C8AA2-01F0-43F3-82AA-023FE42DA551}"/>
            </a:ext>
          </a:extLst>
        </xdr:cNvPr>
        <xdr:cNvSpPr txBox="1"/>
      </xdr:nvSpPr>
      <xdr:spPr>
        <a:xfrm>
          <a:off x="4961726" y="17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277862D-F23F-4C11-B534-3C5589A31DF3}"/>
            </a:ext>
          </a:extLst>
        </xdr:cNvPr>
        <xdr:cNvSpPr txBox="1"/>
      </xdr:nvSpPr>
      <xdr:spPr>
        <a:xfrm>
          <a:off x="4961726" y="17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1ABA7C-576D-489A-A601-E56DF3EDF2D9}"/>
            </a:ext>
          </a:extLst>
        </xdr:cNvPr>
        <xdr:cNvSpPr txBox="1"/>
      </xdr:nvSpPr>
      <xdr:spPr>
        <a:xfrm>
          <a:off x="4961726" y="17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973C19C-0166-4976-BF08-B8B173EF8189}"/>
            </a:ext>
          </a:extLst>
        </xdr:cNvPr>
        <xdr:cNvSpPr txBox="1"/>
      </xdr:nvSpPr>
      <xdr:spPr>
        <a:xfrm>
          <a:off x="4961726" y="17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A225E83-F275-4463-88A1-232CBCEA17E6}"/>
            </a:ext>
          </a:extLst>
        </xdr:cNvPr>
        <xdr:cNvSpPr txBox="1"/>
      </xdr:nvSpPr>
      <xdr:spPr>
        <a:xfrm>
          <a:off x="4961726" y="17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6CE41D1-5F70-42CC-A8C0-0382E598D3E9}"/>
            </a:ext>
          </a:extLst>
        </xdr:cNvPr>
        <xdr:cNvSpPr txBox="1"/>
      </xdr:nvSpPr>
      <xdr:spPr>
        <a:xfrm>
          <a:off x="4961726" y="17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93917AE-1350-4B99-A1A2-DA66689A973E}"/>
            </a:ext>
          </a:extLst>
        </xdr:cNvPr>
        <xdr:cNvSpPr txBox="1"/>
      </xdr:nvSpPr>
      <xdr:spPr>
        <a:xfrm>
          <a:off x="4961726" y="197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523BBF3-B39C-45A9-967E-8EC906541127}"/>
            </a:ext>
          </a:extLst>
        </xdr:cNvPr>
        <xdr:cNvSpPr txBox="1"/>
      </xdr:nvSpPr>
      <xdr:spPr>
        <a:xfrm>
          <a:off x="4961726" y="2156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081629B-DE13-4F1E-A186-34D733B7C061}"/>
            </a:ext>
          </a:extLst>
        </xdr:cNvPr>
        <xdr:cNvSpPr txBox="1"/>
      </xdr:nvSpPr>
      <xdr:spPr>
        <a:xfrm>
          <a:off x="4961726" y="2156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AB34E26-0CEA-4EE5-8A95-B0BB5FD9D245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80DB11A-DB1A-4E24-BE36-DA4BB3307D45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B854684-516D-4B6F-BF4F-4AFFE146E339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6711CAB-3AE5-47A7-B64F-256328286869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CB62987-EBE9-4193-804B-8B66709A58B0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4B908CC-DFC9-4557-BD7E-905EA46CC637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9EF72C7-B53E-4C1B-8BB7-BF08ACEAF4F1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65AD5FB-6352-4FC3-B4B4-CA905234F1CA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0ADDA99-6904-473C-B5EC-488C2F6C9986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06D7C87-7E52-474D-A7E6-D73FF62740A1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C6E44D9-EFD9-4E8E-A433-10CC88E1C11C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AA702FF-9348-4672-AABB-075897E0AC2B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EBC8C36-95E3-486B-98AE-7AD3F9E207C6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5ABAE3D-7113-46E2-8E25-78F821A64BBF}"/>
            </a:ext>
          </a:extLst>
        </xdr:cNvPr>
        <xdr:cNvSpPr txBox="1"/>
      </xdr:nvSpPr>
      <xdr:spPr>
        <a:xfrm>
          <a:off x="4961726" y="25222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5AFEE5D-A1B5-4B17-995F-095B048E9730}"/>
            </a:ext>
          </a:extLst>
        </xdr:cNvPr>
        <xdr:cNvSpPr txBox="1"/>
      </xdr:nvSpPr>
      <xdr:spPr>
        <a:xfrm>
          <a:off x="4961726" y="25222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D5CAA8F-988B-412E-9C24-2F721FC9D68C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597923B-F929-4126-AC3E-F50B33A3E10C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C04EB86-1292-423B-BB20-C90B30BD0667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5C4EAA8-D9A0-465D-9669-AD780FF2BDEA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D27C43E-5257-44D8-B862-CC45E1939FE9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43C998A-8CD8-4AC1-9A4B-9086195526FB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5A0F5D4-7A91-4368-AC7F-02D52B4CAB1F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91F3C63-308F-4B96-82A9-4FA3CB5D0DEA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8202F60-6630-4621-9A5F-BF95A35D6614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915635E-F625-4938-B695-884B41837F98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683279A-61CC-4326-A86A-51DEC9AD722C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2FCBCED-08D5-4786-A966-59CC5756D07B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05E3A13-47A5-4EA6-A860-4079EB4CAB15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D5941B4-F156-42E5-89EF-4F18B6737EC4}"/>
            </a:ext>
          </a:extLst>
        </xdr:cNvPr>
        <xdr:cNvSpPr txBox="1"/>
      </xdr:nvSpPr>
      <xdr:spPr>
        <a:xfrm>
          <a:off x="4961726" y="30708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E31802F-F676-4613-A470-CC305E6E98D9}"/>
            </a:ext>
          </a:extLst>
        </xdr:cNvPr>
        <xdr:cNvSpPr txBox="1"/>
      </xdr:nvSpPr>
      <xdr:spPr>
        <a:xfrm>
          <a:off x="4961726" y="32537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E384AC2-ACD0-4BD9-B492-62E381564C3B}"/>
            </a:ext>
          </a:extLst>
        </xdr:cNvPr>
        <xdr:cNvSpPr txBox="1"/>
      </xdr:nvSpPr>
      <xdr:spPr>
        <a:xfrm>
          <a:off x="4961726" y="36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5F52EFF8-5717-422C-B6B1-6DF3D863338E}"/>
            </a:ext>
          </a:extLst>
        </xdr:cNvPr>
        <xdr:cNvSpPr txBox="1"/>
      </xdr:nvSpPr>
      <xdr:spPr>
        <a:xfrm>
          <a:off x="4961726" y="38023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045EF36-FB7F-467A-9753-A48B86A0EFC8}"/>
            </a:ext>
          </a:extLst>
        </xdr:cNvPr>
        <xdr:cNvSpPr txBox="1"/>
      </xdr:nvSpPr>
      <xdr:spPr>
        <a:xfrm>
          <a:off x="4961726" y="4168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87E29E7-E7EC-4816-B332-126529B08532}"/>
            </a:ext>
          </a:extLst>
        </xdr:cNvPr>
        <xdr:cNvSpPr txBox="1"/>
      </xdr:nvSpPr>
      <xdr:spPr>
        <a:xfrm>
          <a:off x="4961726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6213A9D-CB72-461E-B7AA-8F44E7CEF169}"/>
            </a:ext>
          </a:extLst>
        </xdr:cNvPr>
        <xdr:cNvSpPr txBox="1"/>
      </xdr:nvSpPr>
      <xdr:spPr>
        <a:xfrm>
          <a:off x="4961726" y="47167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25E4CF2-91A6-4B01-A91C-E743A5A9F1C2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6ED1E15-AEEC-4A0A-94AC-2F4FF594DE35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739730A-E66E-4F52-9864-5A27E8313C4E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9E75583-026E-4258-BE4F-19EB5CBAB244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C970EE0-3BF1-44A6-A6F0-465461CE7358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15405F7-7624-4D22-9C0F-8B87F30048BD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B118973-9C8A-43D4-B742-6EC54248E66A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50F1F50-1156-4661-BB4A-48DE0FF2AD3B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D2546D5-269C-435E-A6D1-285B50C0DA91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F08B2E59-0F1E-4B7B-9D30-B578695256BA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FBCF0F4-5E5B-418D-A459-F65B499F779A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71B16D5F-463B-4097-99D4-A63E1788EA03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606268F6-5BB5-45CD-8644-2F07E39DC561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463740EF-FB46-4551-85D7-9CBF32CEADEC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2AEDF14-F85B-4ACD-850D-2C2F4887FFFB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6E863D56-BA80-43F8-BD6A-83C3EC51B41C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53EFF1A-83BF-4743-8204-25034B0F6A73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7ED6531-AEE0-4184-92E2-386889A8F4A1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94E9F42-BAED-4DCA-94F5-1608035EF649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A424459-4EA3-4FA9-BC85-35953466159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818DE4CA-058A-41BA-A60E-AE950B9D6E0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ECBF35E8-5DC4-4685-AB1A-119D0D19436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ECD46C0D-B729-4AFC-953C-27D1FC994F2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75E4B57D-0FCA-4DF5-A44C-98946038201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97472639-97E2-4FCA-AD4D-5B1195FC2AB9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A1A5FA0A-98D9-4A83-8689-0D16A185C911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C1CD1256-9CED-4159-BC9A-69C609562BF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3322A780-FBFD-4916-9A13-A7D5504AA60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176FFED-B1A9-45E6-A640-027B30288C2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D6DBC443-A3E4-4D89-86C6-53B89A77C70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A3C096E-9AC9-46E6-B2AA-9CEA742403A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9D50F251-F0E6-45DF-8346-593834884689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A76ACCAC-35E2-4615-B4BA-083514C93F0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551A88B-E29C-4A80-A22C-79001C9B9CF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5627D60-85A3-43CF-94C0-84FDC7A96E9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45C2285E-1EA7-4A43-BD8D-627CCDF4B54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C8EB49F2-199B-4669-B964-D8DC0551CFC9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437AF506-4C42-4A47-A637-55944849E4E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788E8F43-4566-4199-8ABB-6E6AF1CA6BD1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148D9896-CBC6-483B-8D99-0BED59CCB88A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E14167A8-02A1-42B5-9956-FC3C124024E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60300E1-5DFA-4AFA-A819-69AE19A706C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E19D4A4D-9CA5-43C0-B1BA-0E70CEAFE3B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CC3115BE-A2CE-4619-8032-2A556C34D2B9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2CDAF149-8449-40BA-BC04-A3376559AC10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DD6CB89-87FB-4015-93F1-18F7735265D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40E36C7-6941-4C12-A4A9-9541D21BBFB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075C803-40DF-4023-9610-30621ECFF159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2087EAE0-5795-40D1-BB8D-9EE7955B2C5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E4E8B496-B79E-48BD-93E8-74DDE5D09AF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412895CE-CAF8-4B66-A0B9-417E064D467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6495E3C7-4F36-44E5-B19F-906258C8AE9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4EB5AD8-11E2-437E-AEAD-69DD47E503C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A909B649-464F-4C00-B999-50DACE728281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AC9ABE8E-6EC8-4EAE-8C6A-6098F476F02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1ED22E34-705A-4528-B712-5C85A374F01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B3B383D1-867B-4D1A-894D-56EBEA3197F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34E9216C-A606-465A-9E8F-BE060E37773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2112D00F-DF24-49E8-9381-E986A59F14A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7A39C223-90DF-4422-9AF1-CF457B19A17A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1E7DC972-4610-4C1F-ACB5-414876DAD89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DC4C03B3-139F-4E20-8913-A5D4AD7F786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8DEE44F5-46B7-4E79-B2A2-E982CDE91EA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954FEB6D-66ED-415C-9E0F-80F3B449C57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8C69F23F-9B95-4F61-9E40-5BF9B032F38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CA20E56-2B74-4206-AF30-251E813802F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EEAAB259-006A-4424-AD30-91F666E6D10E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F71CC8E4-3E62-4DAF-B436-AE27706A4AB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70BC345A-128D-4FBA-910F-6768E03CD14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B22D236B-D377-4EC9-A46B-6FCE00505B8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B09E6709-C56E-4C6C-85D6-D938B37D54C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9FDD4DE-4B5E-4942-924E-EA803365EBB1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884D8C49-0124-4C7C-910E-1B7ED12E5AA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D22A8E45-0E76-48DD-B0A4-0F7366C89E2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F69952A3-A289-44CE-9DA3-C3C2ABE17F9A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A608102F-3C87-4951-8834-D4D1149CC98E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B7C9F683-0EBD-4BAB-80B6-87FEBFDE0D4E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840D2B5F-63E7-414E-871C-5988ECEC65C1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AC503D00-4240-4320-B581-D60A36C711B9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F6A224C1-7762-4FE8-AC60-43F3BB9AA6F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7E9D6308-4FD3-4474-A11D-C7606442EF91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C20E51BB-FFC9-4FF6-A657-4616412C735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DC762549-006F-4B70-A57E-09E81CD4F090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54C86333-A44E-4479-B154-DB0E0F38416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175888E1-F509-4F8E-85A7-2BBD77F06FC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BF3782E7-54DB-4425-812A-00F59898387E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41F111E1-0175-4F7F-A6A1-55405DDCDDE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40A34676-A427-434C-9298-CB9BF2C3006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C52B3574-B856-4675-8303-06BE1BD5E7B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FF93BA0B-C2EF-4BAF-B6E8-D4E92CFA12D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26D7A3F5-B1DA-40F1-AD1F-26E2EA0E8ED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45CBBC9E-A367-4B34-A63F-BD6873EAE0A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5CE087B8-38FD-4D6E-8B8D-B4EE665F94B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F468A100-5286-42E6-B8FB-62B53C57B18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EDE4CBBC-2EA0-426D-824D-98130E2EA373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88EB4FC5-C627-4AFF-9802-6752284C9AC9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18F11B5A-17B1-4569-8404-32389DC7C7E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F8C2D9C1-9C1A-4522-AF65-0B35C93D614C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E60191D3-DA13-4739-9140-559BBDAB355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DA48C371-3085-4391-BD87-B4EAACDCDE4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168A5AAC-94D8-48E3-A3BD-D5FE8651953C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B17BF45E-3D5D-4681-90B1-C8C5A9D2877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7C4279BD-AE2A-4CD2-A541-0D708479CA7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7F74B0D7-FCB5-4321-BEF4-D73B187DDEF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274EE042-07DB-4734-930F-0A19EDAA609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C9E892F0-7BEA-4D3A-BD24-0B5AB2573BC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4843CC3B-CB17-46E2-90F0-FA552924A9A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56520B1D-D6D5-4C74-9DFC-0D3EAE2F25CC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97128C7C-3A57-43E5-BA77-3DD6778C181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B0F9E80A-FB03-4ADD-8977-63091063790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8C431257-9F84-4903-9D7B-1E5F66513F8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C6C1589-0779-49A8-9459-B037140BA921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875C1129-F86E-4CEF-B466-C283C2EEFB3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D28CA5F3-6A63-4EB0-AE84-21E39279378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C02E19F5-DC55-4D5E-B04D-2CD26C1BF50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4AB44FA3-E148-4190-9FAB-A082AE7E7F0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CC5897E5-A18C-46D4-8A9E-475CE5CBAD9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AE7E2E5E-60CE-4EA3-9BFB-BA91BA63923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F1F6D7FD-5CD2-41A0-996D-A343979C47A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27B4AF8E-F536-4210-BF1F-E93E729C7A9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32D0BC8B-5552-4ABF-9D95-90E760BCA4D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634E021E-985C-4719-BEF7-951ADF15BD2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4D522098-17EB-4E3D-9C10-2E3F878A14F3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198B91ED-BEC4-498C-8D24-B3B1F9E6655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3997F04D-4130-48CC-83AC-B175F09CC42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5481CC4E-B922-470F-B668-73D5EE9D03D3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40557A4C-6731-4531-BA1B-1AA1675090E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822BA9C3-1F8C-4A70-8F51-C7E0846329AA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CFD0C1C1-2460-43AC-9296-8DCCA288A0A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AA771F03-DA91-4986-B915-E223FF97A61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BF412A16-1A2A-49B8-8908-7B47AACFFAA1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E556EBA5-4D02-47CD-B32B-DAE828B8D0B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5FC77480-E83A-4C60-A9E6-80F095EAE07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5FF49444-2E35-4797-B8AB-EEC7F2B2540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C60A68A1-D60C-4272-BC3C-AE7252F7F58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13873667-6949-48AE-A7E0-DC4177782FD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6573F3F-E151-4FB6-BF67-704E7BD6EEBA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43BBC024-065C-4CB4-802A-87BBDFA3D58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E0F25622-E035-4E2B-B461-FF0D7612A25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C4213F0F-105D-42E2-A117-2CE51C1626D0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1CB0E052-E0A9-4AF8-9777-4C3FFB07213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D99B8E1-BFBF-4316-861C-037C945B0B41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31613E78-673C-486D-901A-30C7B228212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F4B2F8C-A2F8-45D7-A4BB-3701CFEF044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1755ACAD-FF67-41DA-BDA1-12B7494E6E1E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1F779D04-959A-4ECF-A936-99C37F0F652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A73A18D9-96BF-458F-89E2-3432BAABA0B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B0EBA213-5FCF-48AE-80EA-21859D8364C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B8DF7DD1-2E79-4578-B98F-57AE5E089DB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7190C99E-FDC6-4987-A55F-76AAE50D6ABA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3CB73E35-4ECF-40B5-8135-D155C7F717E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484C53D8-7E93-4AFB-8B07-1339E40CDD0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617F2F0C-4BD6-4F1A-A82E-570095E0BFBE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4E87E363-AB94-49C0-9ECD-1B624496BC3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F10E934E-EB14-4C76-8E91-434CC63C7E89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E70FCA54-9C35-4235-9EE2-D215DCEA02E0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C846953B-4F2C-472A-B1B9-26D4674713A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4EAAE982-130B-4565-9271-66B37D4A3C0A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4C396FBF-E239-4510-A403-6463F8FB04FE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92E7FA01-EAE6-46B5-9DC1-5FEF59279DB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7652B321-EC61-45EC-BD84-E34026672CE0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BA914D64-7D7A-47B2-8724-0E295E95558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F366B701-6DFE-44F5-8FB4-C600A344109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9178F705-9FB2-4970-9732-9498B88FE05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C1F3718-A6B6-49B2-AA04-F1E78E51952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D02E9AFB-835B-4B61-8F31-154B0028203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F73C944D-D41D-43EB-B9D1-113A9E39B107}"/>
            </a:ext>
          </a:extLst>
        </xdr:cNvPr>
        <xdr:cNvSpPr txBox="1"/>
      </xdr:nvSpPr>
      <xdr:spPr>
        <a:xfrm>
          <a:off x="4961726" y="5631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F54A5A90-E28E-4271-B8D0-99078EDFA4B9}"/>
            </a:ext>
          </a:extLst>
        </xdr:cNvPr>
        <xdr:cNvSpPr txBox="1"/>
      </xdr:nvSpPr>
      <xdr:spPr>
        <a:xfrm>
          <a:off x="4961726" y="5631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CDDD1CC6-AFD7-486C-88D0-3DEBE9E70FD3}"/>
            </a:ext>
          </a:extLst>
        </xdr:cNvPr>
        <xdr:cNvSpPr txBox="1"/>
      </xdr:nvSpPr>
      <xdr:spPr>
        <a:xfrm>
          <a:off x="4961726" y="5631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961EEA4D-0964-413D-ADEA-15FE1604E358}"/>
            </a:ext>
          </a:extLst>
        </xdr:cNvPr>
        <xdr:cNvSpPr txBox="1"/>
      </xdr:nvSpPr>
      <xdr:spPr>
        <a:xfrm>
          <a:off x="4961726" y="5996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9FE7C10-F214-4B21-A331-B0D0FDC2DAED}"/>
            </a:ext>
          </a:extLst>
        </xdr:cNvPr>
        <xdr:cNvSpPr txBox="1"/>
      </xdr:nvSpPr>
      <xdr:spPr>
        <a:xfrm>
          <a:off x="4961726" y="5996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24CB31B8-0041-45B4-B2DB-AB8E57C5D19D}"/>
            </a:ext>
          </a:extLst>
        </xdr:cNvPr>
        <xdr:cNvSpPr txBox="1"/>
      </xdr:nvSpPr>
      <xdr:spPr>
        <a:xfrm>
          <a:off x="4961726" y="5996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BF2D17CE-073B-455B-8817-42AEBB1B5D83}"/>
            </a:ext>
          </a:extLst>
        </xdr:cNvPr>
        <xdr:cNvSpPr txBox="1"/>
      </xdr:nvSpPr>
      <xdr:spPr>
        <a:xfrm>
          <a:off x="4961726" y="636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9D900C9D-E4F8-4196-8B85-5F5239A374A7}"/>
            </a:ext>
          </a:extLst>
        </xdr:cNvPr>
        <xdr:cNvSpPr txBox="1"/>
      </xdr:nvSpPr>
      <xdr:spPr>
        <a:xfrm>
          <a:off x="4961726" y="636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9C2FA233-03B0-4A5E-9C3D-983AB3782341}"/>
            </a:ext>
          </a:extLst>
        </xdr:cNvPr>
        <xdr:cNvSpPr txBox="1"/>
      </xdr:nvSpPr>
      <xdr:spPr>
        <a:xfrm>
          <a:off x="4961726" y="636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A542DC2-8F7A-4EBC-8FE7-C0CD0DFA2F47}"/>
            </a:ext>
          </a:extLst>
        </xdr:cNvPr>
        <xdr:cNvSpPr txBox="1"/>
      </xdr:nvSpPr>
      <xdr:spPr>
        <a:xfrm>
          <a:off x="4961726" y="6728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80BBB3BC-E6E3-479D-9985-E4DDB35B5ED8}"/>
            </a:ext>
          </a:extLst>
        </xdr:cNvPr>
        <xdr:cNvSpPr txBox="1"/>
      </xdr:nvSpPr>
      <xdr:spPr>
        <a:xfrm>
          <a:off x="4961726" y="6728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F87F76FA-74BC-440A-B8C5-8721F5091958}"/>
            </a:ext>
          </a:extLst>
        </xdr:cNvPr>
        <xdr:cNvSpPr txBox="1"/>
      </xdr:nvSpPr>
      <xdr:spPr>
        <a:xfrm>
          <a:off x="4961726" y="6728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687D8379-37C9-40FB-8F19-CB5CEA632501}"/>
            </a:ext>
          </a:extLst>
        </xdr:cNvPr>
        <xdr:cNvSpPr txBox="1"/>
      </xdr:nvSpPr>
      <xdr:spPr>
        <a:xfrm>
          <a:off x="4961726" y="6911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A1F59091-31BE-4794-89F4-8765A83A08F8}"/>
            </a:ext>
          </a:extLst>
        </xdr:cNvPr>
        <xdr:cNvSpPr txBox="1"/>
      </xdr:nvSpPr>
      <xdr:spPr>
        <a:xfrm>
          <a:off x="4961726" y="6911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777E0AA9-BBF6-4CCE-8106-1703176B22CC}"/>
            </a:ext>
          </a:extLst>
        </xdr:cNvPr>
        <xdr:cNvSpPr txBox="1"/>
      </xdr:nvSpPr>
      <xdr:spPr>
        <a:xfrm>
          <a:off x="4961726" y="6911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C868A3DD-B115-4B72-A4ED-66963FB209C3}"/>
            </a:ext>
          </a:extLst>
        </xdr:cNvPr>
        <xdr:cNvSpPr txBox="1"/>
      </xdr:nvSpPr>
      <xdr:spPr>
        <a:xfrm>
          <a:off x="4961726" y="727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8CC8E1C0-2EDA-4046-8539-6A99C8BBA7B7}"/>
            </a:ext>
          </a:extLst>
        </xdr:cNvPr>
        <xdr:cNvSpPr txBox="1"/>
      </xdr:nvSpPr>
      <xdr:spPr>
        <a:xfrm>
          <a:off x="4961726" y="727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1594AE36-C672-4451-8A4B-18657AFBCF77}"/>
            </a:ext>
          </a:extLst>
        </xdr:cNvPr>
        <xdr:cNvSpPr txBox="1"/>
      </xdr:nvSpPr>
      <xdr:spPr>
        <a:xfrm>
          <a:off x="4961726" y="727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891371C2-1724-47BF-85D8-C3EA67AAFDD6}"/>
            </a:ext>
          </a:extLst>
        </xdr:cNvPr>
        <xdr:cNvSpPr txBox="1"/>
      </xdr:nvSpPr>
      <xdr:spPr>
        <a:xfrm>
          <a:off x="4961726" y="7459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B9519C73-E954-421A-B1A1-CEC74238E7FD}"/>
            </a:ext>
          </a:extLst>
        </xdr:cNvPr>
        <xdr:cNvSpPr txBox="1"/>
      </xdr:nvSpPr>
      <xdr:spPr>
        <a:xfrm>
          <a:off x="4961726" y="7459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733DC6DE-33FA-42C9-BF3A-ECE78CDFFBEC}"/>
            </a:ext>
          </a:extLst>
        </xdr:cNvPr>
        <xdr:cNvSpPr txBox="1"/>
      </xdr:nvSpPr>
      <xdr:spPr>
        <a:xfrm>
          <a:off x="4961726" y="7459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FC93F1AF-A82D-4A03-82B1-EE8CCE0F1203}"/>
            </a:ext>
          </a:extLst>
        </xdr:cNvPr>
        <xdr:cNvSpPr txBox="1"/>
      </xdr:nvSpPr>
      <xdr:spPr>
        <a:xfrm>
          <a:off x="4961726" y="76428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70CCEE72-C66C-41F1-AEE5-5330875CB737}"/>
            </a:ext>
          </a:extLst>
        </xdr:cNvPr>
        <xdr:cNvSpPr txBox="1"/>
      </xdr:nvSpPr>
      <xdr:spPr>
        <a:xfrm>
          <a:off x="4961726" y="76428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370BC897-D430-41DE-B0A0-CBE8CE40A0ED}"/>
            </a:ext>
          </a:extLst>
        </xdr:cNvPr>
        <xdr:cNvSpPr txBox="1"/>
      </xdr:nvSpPr>
      <xdr:spPr>
        <a:xfrm>
          <a:off x="4961726" y="76428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707CFB95-AA9F-4D7F-9E3D-6E69271159E0}"/>
            </a:ext>
          </a:extLst>
        </xdr:cNvPr>
        <xdr:cNvSpPr txBox="1"/>
      </xdr:nvSpPr>
      <xdr:spPr>
        <a:xfrm>
          <a:off x="4961726" y="78257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6B7F3C57-FB6E-4ABA-904B-438116255B9E}"/>
            </a:ext>
          </a:extLst>
        </xdr:cNvPr>
        <xdr:cNvSpPr txBox="1"/>
      </xdr:nvSpPr>
      <xdr:spPr>
        <a:xfrm>
          <a:off x="4961726" y="78257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EC72785C-E46E-4293-A3F5-CF005DCB940D}"/>
            </a:ext>
          </a:extLst>
        </xdr:cNvPr>
        <xdr:cNvSpPr txBox="1"/>
      </xdr:nvSpPr>
      <xdr:spPr>
        <a:xfrm>
          <a:off x="4961726" y="78257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CF74D153-2D27-4B38-87B0-0F7CC45B5F3D}"/>
            </a:ext>
          </a:extLst>
        </xdr:cNvPr>
        <xdr:cNvSpPr txBox="1"/>
      </xdr:nvSpPr>
      <xdr:spPr>
        <a:xfrm>
          <a:off x="4961726" y="819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56B0D6DB-0026-4DEE-8BC1-366B2FDC8A26}"/>
            </a:ext>
          </a:extLst>
        </xdr:cNvPr>
        <xdr:cNvSpPr txBox="1"/>
      </xdr:nvSpPr>
      <xdr:spPr>
        <a:xfrm>
          <a:off x="4961726" y="819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FBE94379-55B9-492D-ACB6-7A15D900A540}"/>
            </a:ext>
          </a:extLst>
        </xdr:cNvPr>
        <xdr:cNvSpPr txBox="1"/>
      </xdr:nvSpPr>
      <xdr:spPr>
        <a:xfrm>
          <a:off x="4961726" y="819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C34807BF-5D01-4E9A-BEBB-952CFBA21027}"/>
            </a:ext>
          </a:extLst>
        </xdr:cNvPr>
        <xdr:cNvSpPr txBox="1"/>
      </xdr:nvSpPr>
      <xdr:spPr>
        <a:xfrm>
          <a:off x="4961726" y="83743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2173069D-546C-4982-9D0E-10FE1FAC1AB3}"/>
            </a:ext>
          </a:extLst>
        </xdr:cNvPr>
        <xdr:cNvSpPr txBox="1"/>
      </xdr:nvSpPr>
      <xdr:spPr>
        <a:xfrm>
          <a:off x="4961726" y="83743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D77BAC4D-A3EE-4B52-A696-2D4427291B24}"/>
            </a:ext>
          </a:extLst>
        </xdr:cNvPr>
        <xdr:cNvSpPr txBox="1"/>
      </xdr:nvSpPr>
      <xdr:spPr>
        <a:xfrm>
          <a:off x="4961726" y="83743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8BBE7851-D890-4826-8D0F-6088885CE791}"/>
            </a:ext>
          </a:extLst>
        </xdr:cNvPr>
        <xdr:cNvSpPr txBox="1"/>
      </xdr:nvSpPr>
      <xdr:spPr>
        <a:xfrm>
          <a:off x="4961726" y="8740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4A927970-F2E9-454B-A92E-89A9FDD1BC95}"/>
            </a:ext>
          </a:extLst>
        </xdr:cNvPr>
        <xdr:cNvSpPr txBox="1"/>
      </xdr:nvSpPr>
      <xdr:spPr>
        <a:xfrm>
          <a:off x="4961726" y="8740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198F51B9-5A18-4558-AD76-A0D50ED2295B}"/>
            </a:ext>
          </a:extLst>
        </xdr:cNvPr>
        <xdr:cNvSpPr txBox="1"/>
      </xdr:nvSpPr>
      <xdr:spPr>
        <a:xfrm>
          <a:off x="4961726" y="8740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12BC8A18-45BF-459E-997D-59ED6DC41AFD}"/>
            </a:ext>
          </a:extLst>
        </xdr:cNvPr>
        <xdr:cNvSpPr txBox="1"/>
      </xdr:nvSpPr>
      <xdr:spPr>
        <a:xfrm>
          <a:off x="4961726" y="910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60BCC940-3139-4E67-B952-18A71B8A62CF}"/>
            </a:ext>
          </a:extLst>
        </xdr:cNvPr>
        <xdr:cNvSpPr txBox="1"/>
      </xdr:nvSpPr>
      <xdr:spPr>
        <a:xfrm>
          <a:off x="4961726" y="910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C00E4145-A109-4324-89B1-BDF6FC77EB4E}"/>
            </a:ext>
          </a:extLst>
        </xdr:cNvPr>
        <xdr:cNvSpPr txBox="1"/>
      </xdr:nvSpPr>
      <xdr:spPr>
        <a:xfrm>
          <a:off x="4961726" y="910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C7F73B8F-8A76-46BE-8532-FAB5402FFE70}"/>
            </a:ext>
          </a:extLst>
        </xdr:cNvPr>
        <xdr:cNvSpPr txBox="1"/>
      </xdr:nvSpPr>
      <xdr:spPr>
        <a:xfrm>
          <a:off x="4961726" y="92887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D97871A9-BF61-4FC0-BEF2-183CF9D24466}"/>
            </a:ext>
          </a:extLst>
        </xdr:cNvPr>
        <xdr:cNvSpPr txBox="1"/>
      </xdr:nvSpPr>
      <xdr:spPr>
        <a:xfrm>
          <a:off x="4961726" y="92887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EC1173B-946F-40F0-87FD-A7B607A8A693}"/>
            </a:ext>
          </a:extLst>
        </xdr:cNvPr>
        <xdr:cNvSpPr txBox="1"/>
      </xdr:nvSpPr>
      <xdr:spPr>
        <a:xfrm>
          <a:off x="4961726" y="92887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4E7F4414-DFDD-4C0C-81EF-A199420A40F7}"/>
            </a:ext>
          </a:extLst>
        </xdr:cNvPr>
        <xdr:cNvSpPr txBox="1"/>
      </xdr:nvSpPr>
      <xdr:spPr>
        <a:xfrm>
          <a:off x="4961726" y="9654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91CC5D0B-7856-4C64-A228-7607A105697C}"/>
            </a:ext>
          </a:extLst>
        </xdr:cNvPr>
        <xdr:cNvSpPr txBox="1"/>
      </xdr:nvSpPr>
      <xdr:spPr>
        <a:xfrm>
          <a:off x="4961726" y="9654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7263CF47-86D8-4A49-8934-EA68B6F8D183}"/>
            </a:ext>
          </a:extLst>
        </xdr:cNvPr>
        <xdr:cNvSpPr txBox="1"/>
      </xdr:nvSpPr>
      <xdr:spPr>
        <a:xfrm>
          <a:off x="4961726" y="9654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8938823A-1EA3-4191-91B4-192CF4AB7D73}"/>
            </a:ext>
          </a:extLst>
        </xdr:cNvPr>
        <xdr:cNvSpPr txBox="1"/>
      </xdr:nvSpPr>
      <xdr:spPr>
        <a:xfrm>
          <a:off x="4961726" y="9837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C234DF5D-DF7F-4E2D-8A7C-E4D4BD38150E}"/>
            </a:ext>
          </a:extLst>
        </xdr:cNvPr>
        <xdr:cNvSpPr txBox="1"/>
      </xdr:nvSpPr>
      <xdr:spPr>
        <a:xfrm>
          <a:off x="4961726" y="9837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D5ED4DF6-A07C-4F49-94D2-350D2FA1C6D5}"/>
            </a:ext>
          </a:extLst>
        </xdr:cNvPr>
        <xdr:cNvSpPr txBox="1"/>
      </xdr:nvSpPr>
      <xdr:spPr>
        <a:xfrm>
          <a:off x="4961726" y="9837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7A5A3FA4-20C3-4E2E-A38D-61B1A2298F14}"/>
            </a:ext>
          </a:extLst>
        </xdr:cNvPr>
        <xdr:cNvSpPr txBox="1"/>
      </xdr:nvSpPr>
      <xdr:spPr>
        <a:xfrm>
          <a:off x="4961726" y="1002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58095147-A1D7-4E79-BAFF-389D5FAFB5E9}"/>
            </a:ext>
          </a:extLst>
        </xdr:cNvPr>
        <xdr:cNvSpPr txBox="1"/>
      </xdr:nvSpPr>
      <xdr:spPr>
        <a:xfrm>
          <a:off x="4961726" y="1002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4A45C129-9BE9-48AE-8021-7A81FCF682AE}"/>
            </a:ext>
          </a:extLst>
        </xdr:cNvPr>
        <xdr:cNvSpPr txBox="1"/>
      </xdr:nvSpPr>
      <xdr:spPr>
        <a:xfrm>
          <a:off x="4961726" y="1002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4DF4E1DA-6E68-4BFD-81E6-8B20BC6BE87A}"/>
            </a:ext>
          </a:extLst>
        </xdr:cNvPr>
        <xdr:cNvSpPr txBox="1"/>
      </xdr:nvSpPr>
      <xdr:spPr>
        <a:xfrm>
          <a:off x="4961726" y="10203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E71CF2E1-280D-488D-B90D-2CA769318D21}"/>
            </a:ext>
          </a:extLst>
        </xdr:cNvPr>
        <xdr:cNvSpPr txBox="1"/>
      </xdr:nvSpPr>
      <xdr:spPr>
        <a:xfrm>
          <a:off x="4961726" y="10203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2B41E0FA-F7A8-445D-8943-18C6D127FE9A}"/>
            </a:ext>
          </a:extLst>
        </xdr:cNvPr>
        <xdr:cNvSpPr txBox="1"/>
      </xdr:nvSpPr>
      <xdr:spPr>
        <a:xfrm>
          <a:off x="4961726" y="10203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C5D7451D-3733-4483-BF69-A52CAF1DD1A3}"/>
            </a:ext>
          </a:extLst>
        </xdr:cNvPr>
        <xdr:cNvSpPr txBox="1"/>
      </xdr:nvSpPr>
      <xdr:spPr>
        <a:xfrm>
          <a:off x="4961726" y="103860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47ABC38A-D5D2-472B-BDA6-DDF17A0F96CC}"/>
            </a:ext>
          </a:extLst>
        </xdr:cNvPr>
        <xdr:cNvSpPr txBox="1"/>
      </xdr:nvSpPr>
      <xdr:spPr>
        <a:xfrm>
          <a:off x="4961726" y="103860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CCEC988E-FE34-480D-9548-ADEE1400F163}"/>
            </a:ext>
          </a:extLst>
        </xdr:cNvPr>
        <xdr:cNvSpPr txBox="1"/>
      </xdr:nvSpPr>
      <xdr:spPr>
        <a:xfrm>
          <a:off x="4961726" y="103860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1D6FAB68-5449-4987-B232-02AC7F129A96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420E378F-990A-4DC5-A123-BD1F45788406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2102F1FB-ED78-4ECE-B447-2C7A721DB1EA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B717EAD9-CC0C-405D-968B-75ABE0E8D120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7B57AB55-B1A0-4BB0-B89B-038B641F5A9A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9FF26E96-8B34-4540-A51E-C7EBDC04A047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A82B07AD-FA15-4077-BE1C-09DCD5C28A30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89E0BDB7-2D24-4D86-BD97-492EEA1CCE59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E4575F01-8791-4137-B7BC-C4BF443E316F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AB16EE7-EAB1-4C4C-A8BF-BF82C19B5D58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9FE4A69C-0C2F-4195-A595-4E72352810CA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1F299E91-854D-4835-85A0-910FB672BEC5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2EBE1B98-57B6-42B3-A92D-803CABF1AE8C}"/>
            </a:ext>
          </a:extLst>
        </xdr:cNvPr>
        <xdr:cNvSpPr txBox="1"/>
      </xdr:nvSpPr>
      <xdr:spPr>
        <a:xfrm>
          <a:off x="4961726" y="10751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C3AF8265-189D-4190-8546-453653999C9B}"/>
            </a:ext>
          </a:extLst>
        </xdr:cNvPr>
        <xdr:cNvSpPr txBox="1"/>
      </xdr:nvSpPr>
      <xdr:spPr>
        <a:xfrm>
          <a:off x="4961726" y="10751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86D8BB1-681E-4C95-AD06-757688C88FFC}"/>
            </a:ext>
          </a:extLst>
        </xdr:cNvPr>
        <xdr:cNvSpPr txBox="1"/>
      </xdr:nvSpPr>
      <xdr:spPr>
        <a:xfrm>
          <a:off x="4961726" y="10751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321CB3E0-E06E-4BCD-BF0B-AEF9FA39A7A8}"/>
            </a:ext>
          </a:extLst>
        </xdr:cNvPr>
        <xdr:cNvSpPr txBox="1"/>
      </xdr:nvSpPr>
      <xdr:spPr>
        <a:xfrm>
          <a:off x="4961726" y="11117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8D7CC673-15EB-48C1-9BF1-92BBB33F65F8}"/>
            </a:ext>
          </a:extLst>
        </xdr:cNvPr>
        <xdr:cNvSpPr txBox="1"/>
      </xdr:nvSpPr>
      <xdr:spPr>
        <a:xfrm>
          <a:off x="4961726" y="11117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8D3E9B58-D044-4B60-AD58-4F64167E53AF}"/>
            </a:ext>
          </a:extLst>
        </xdr:cNvPr>
        <xdr:cNvSpPr txBox="1"/>
      </xdr:nvSpPr>
      <xdr:spPr>
        <a:xfrm>
          <a:off x="4961726" y="11117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253654F2-0E38-4EFB-95CE-9C83F200A348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4F0CD2A6-3A21-4CFA-9CBE-567B5F4D5A3E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B1E7E900-9E25-400C-8F0F-34699CF8A885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64B9D93F-77BA-400D-BDBC-2F0BBE899F2F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76506A47-BB41-40FF-AC51-9509F0F2E8F0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B6751F22-4324-40BB-8E89-1CFE26100BA4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11BEEF1E-214A-41B1-93B2-229D6D879B27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70EDD302-112D-46B1-ACFB-A4BDD1FC44D7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3E2EEC69-E7FA-459A-B67D-95C3F2B66D85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F586C9F5-B01B-4F2F-BCBD-1047BA32FE85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CD0AF143-1A03-4D3D-B904-CB43BAB0269F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E4A42F0D-B4C9-463A-BEB7-19E3653374E9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1B70BD51-14BA-48AF-8BA3-13563F893D4C}"/>
            </a:ext>
          </a:extLst>
        </xdr:cNvPr>
        <xdr:cNvSpPr txBox="1"/>
      </xdr:nvSpPr>
      <xdr:spPr>
        <a:xfrm>
          <a:off x="4961726" y="116662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BB14557B-3139-4D9B-87B9-B0BEEF5C81B3}"/>
            </a:ext>
          </a:extLst>
        </xdr:cNvPr>
        <xdr:cNvSpPr txBox="1"/>
      </xdr:nvSpPr>
      <xdr:spPr>
        <a:xfrm>
          <a:off x="4961726" y="116662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DD0D6016-C99C-43D6-B28F-1CACA0BA7092}"/>
            </a:ext>
          </a:extLst>
        </xdr:cNvPr>
        <xdr:cNvSpPr txBox="1"/>
      </xdr:nvSpPr>
      <xdr:spPr>
        <a:xfrm>
          <a:off x="6234266" y="10805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DFC59D61-626C-46CA-B81A-DA74EA9B1B08}"/>
            </a:ext>
          </a:extLst>
        </xdr:cNvPr>
        <xdr:cNvSpPr txBox="1"/>
      </xdr:nvSpPr>
      <xdr:spPr>
        <a:xfrm>
          <a:off x="6234266" y="10805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E16ACAEA-BC1A-4D44-A99B-F4ED7E87A46D}"/>
            </a:ext>
          </a:extLst>
        </xdr:cNvPr>
        <xdr:cNvSpPr txBox="1"/>
      </xdr:nvSpPr>
      <xdr:spPr>
        <a:xfrm>
          <a:off x="6234266" y="11186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CF3B941D-2750-4E71-B782-11C6D3B9E53B}"/>
            </a:ext>
          </a:extLst>
        </xdr:cNvPr>
        <xdr:cNvSpPr txBox="1"/>
      </xdr:nvSpPr>
      <xdr:spPr>
        <a:xfrm>
          <a:off x="6234266" y="16474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06D6A2C7-D8AB-4C93-AD15-DE1AF371AF15}"/>
            </a:ext>
          </a:extLst>
        </xdr:cNvPr>
        <xdr:cNvSpPr txBox="1"/>
      </xdr:nvSpPr>
      <xdr:spPr>
        <a:xfrm>
          <a:off x="6234266" y="16474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2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873B4601-4389-4C69-9D35-87EC316A94AB}"/>
            </a:ext>
          </a:extLst>
        </xdr:cNvPr>
        <xdr:cNvSpPr txBox="1"/>
      </xdr:nvSpPr>
      <xdr:spPr>
        <a:xfrm>
          <a:off x="6234266" y="16855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3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BD739426-C2B4-4AD6-883F-F49CAC4D4DD5}"/>
            </a:ext>
          </a:extLst>
        </xdr:cNvPr>
        <xdr:cNvSpPr txBox="1"/>
      </xdr:nvSpPr>
      <xdr:spPr>
        <a:xfrm>
          <a:off x="6234266" y="17236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3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CCF3FD44-B75C-4E12-82AD-5E0903F90336}"/>
            </a:ext>
          </a:extLst>
        </xdr:cNvPr>
        <xdr:cNvSpPr txBox="1"/>
      </xdr:nvSpPr>
      <xdr:spPr>
        <a:xfrm>
          <a:off x="6234266" y="17236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8"/>
  <sheetViews>
    <sheetView tabSelected="1" topLeftCell="P1" zoomScaleNormal="100" workbookViewId="0">
      <pane ySplit="1" topLeftCell="A2" activePane="bottomLeft" state="frozen"/>
      <selection pane="bottomLeft" activeCell="BC2" sqref="BC2"/>
    </sheetView>
  </sheetViews>
  <sheetFormatPr defaultColWidth="8.85546875" defaultRowHeight="15" x14ac:dyDescent="0.25"/>
  <cols>
    <col min="1" max="1" width="7.42578125" style="16" customWidth="1"/>
    <col min="2" max="2" width="10" style="16" customWidth="1"/>
    <col min="3" max="3" width="12" style="17" bestFit="1" customWidth="1"/>
    <col min="4" max="4" width="9.5703125" style="16" customWidth="1"/>
    <col min="5" max="5" width="17.140625" style="14" customWidth="1"/>
    <col min="6" max="6" width="29.85546875" style="18" bestFit="1" customWidth="1"/>
    <col min="7" max="7" width="24" style="18" customWidth="1"/>
    <col min="8" max="8" width="22.85546875" style="19" bestFit="1" customWidth="1"/>
    <col min="9" max="9" width="12.42578125" style="17" customWidth="1"/>
    <col min="10" max="10" width="11.5703125" style="20" bestFit="1" customWidth="1"/>
    <col min="11" max="11" width="12.42578125" style="20" customWidth="1"/>
    <col min="12" max="13" width="13.85546875" style="20" customWidth="1"/>
    <col min="14" max="15" width="13.42578125" style="16" customWidth="1"/>
    <col min="16" max="16" width="12.5703125" style="16" customWidth="1"/>
    <col min="17" max="17" width="12" style="16" customWidth="1"/>
    <col min="18" max="18" width="11.85546875" style="16" customWidth="1"/>
    <col min="19" max="19" width="11.42578125" style="16" customWidth="1"/>
    <col min="20" max="20" width="12" style="12" bestFit="1" customWidth="1"/>
    <col min="21" max="21" width="12" style="13" hidden="1" customWidth="1"/>
    <col min="22" max="22" width="10.5703125" style="12" hidden="1" customWidth="1"/>
    <col min="23" max="23" width="12" style="13" hidden="1" customWidth="1"/>
    <col min="24" max="24" width="10.5703125" style="12" hidden="1" customWidth="1"/>
    <col min="25" max="25" width="11.5703125" style="14" hidden="1" customWidth="1"/>
    <col min="26" max="31" width="10.5703125" style="16" hidden="1" customWidth="1"/>
    <col min="32" max="32" width="11.5703125" style="14" hidden="1" customWidth="1"/>
    <col min="33" max="33" width="16.42578125" style="14" hidden="1" customWidth="1"/>
    <col min="34" max="34" width="27.5703125" style="21" hidden="1" customWidth="1"/>
    <col min="35" max="35" width="14.42578125" style="21" hidden="1" customWidth="1"/>
    <col min="36" max="36" width="19.140625" style="21" hidden="1" customWidth="1"/>
    <col min="37" max="37" width="16.5703125" style="21" hidden="1" customWidth="1"/>
    <col min="38" max="38" width="58.42578125" style="16" hidden="1" customWidth="1"/>
    <col min="39" max="43" width="17.42578125" style="16" hidden="1" customWidth="1"/>
    <col min="44" max="44" width="11.5703125" style="20" bestFit="1" customWidth="1"/>
    <col min="45" max="47" width="11.140625" style="20" customWidth="1"/>
    <col min="48" max="48" width="11.140625" style="15" customWidth="1"/>
    <col min="49" max="49" width="11.140625" style="16" customWidth="1"/>
    <col min="50" max="50" width="11.140625" style="15" customWidth="1"/>
    <col min="51" max="52" width="11.140625" style="16" customWidth="1"/>
    <col min="53" max="55" width="11.140625" style="20" customWidth="1"/>
    <col min="56" max="56" width="11.140625" style="16" customWidth="1"/>
    <col min="57" max="16384" width="8.85546875" style="16"/>
  </cols>
  <sheetData>
    <row r="1" spans="1:56" s="22" customFormat="1" ht="119.45" customHeight="1" x14ac:dyDescent="0.25">
      <c r="A1" s="8" t="s">
        <v>0</v>
      </c>
      <c r="B1" s="8" t="s">
        <v>34</v>
      </c>
      <c r="C1" s="8" t="s">
        <v>1</v>
      </c>
      <c r="D1" s="8" t="s">
        <v>35</v>
      </c>
      <c r="E1" s="8" t="s">
        <v>2</v>
      </c>
      <c r="F1" s="8" t="s">
        <v>3</v>
      </c>
      <c r="G1" s="8" t="s">
        <v>57</v>
      </c>
      <c r="H1" s="8" t="s">
        <v>4</v>
      </c>
      <c r="I1" s="61" t="s">
        <v>5</v>
      </c>
      <c r="J1" s="62" t="s">
        <v>6</v>
      </c>
      <c r="K1" s="62" t="s">
        <v>7</v>
      </c>
      <c r="L1" s="62" t="s">
        <v>8</v>
      </c>
      <c r="M1" s="9" t="s">
        <v>50</v>
      </c>
      <c r="N1" s="10" t="s">
        <v>37</v>
      </c>
      <c r="O1" s="10" t="s">
        <v>9</v>
      </c>
      <c r="P1" s="23" t="s">
        <v>36</v>
      </c>
      <c r="Q1" s="24" t="s">
        <v>10</v>
      </c>
      <c r="R1" s="10" t="s">
        <v>11</v>
      </c>
      <c r="S1" s="23" t="s">
        <v>12</v>
      </c>
      <c r="T1" s="23" t="s">
        <v>13</v>
      </c>
      <c r="U1" s="24" t="s">
        <v>14</v>
      </c>
      <c r="V1" s="23" t="s">
        <v>15</v>
      </c>
      <c r="W1" s="23" t="s">
        <v>16</v>
      </c>
      <c r="X1" s="23" t="s">
        <v>17</v>
      </c>
      <c r="Y1" s="23" t="s">
        <v>18</v>
      </c>
      <c r="Z1" s="7" t="s">
        <v>19</v>
      </c>
      <c r="AA1" s="7" t="s">
        <v>20</v>
      </c>
      <c r="AB1" s="7" t="s">
        <v>21</v>
      </c>
      <c r="AC1" s="7" t="s">
        <v>22</v>
      </c>
      <c r="AD1" s="7" t="s">
        <v>23</v>
      </c>
      <c r="AE1" s="7" t="s">
        <v>24</v>
      </c>
      <c r="AF1" s="8" t="s">
        <v>25</v>
      </c>
      <c r="AG1" s="8" t="s">
        <v>26</v>
      </c>
      <c r="AH1" s="8" t="s">
        <v>27</v>
      </c>
      <c r="AI1" s="8" t="s">
        <v>56</v>
      </c>
      <c r="AJ1" s="8" t="s">
        <v>54</v>
      </c>
      <c r="AK1" s="8" t="s">
        <v>55</v>
      </c>
      <c r="AL1" s="8" t="s">
        <v>28</v>
      </c>
      <c r="AM1" s="7" t="s">
        <v>29</v>
      </c>
      <c r="AN1" s="7" t="s">
        <v>30</v>
      </c>
      <c r="AO1" s="7" t="s">
        <v>31</v>
      </c>
      <c r="AP1" s="7" t="s">
        <v>32</v>
      </c>
      <c r="AQ1" s="7" t="s">
        <v>33</v>
      </c>
      <c r="AR1" s="11" t="s">
        <v>38</v>
      </c>
      <c r="AS1" s="11" t="s">
        <v>39</v>
      </c>
      <c r="AT1" s="11" t="s">
        <v>40</v>
      </c>
      <c r="AU1" s="11" t="s">
        <v>41</v>
      </c>
      <c r="AV1" s="63" t="s">
        <v>42</v>
      </c>
      <c r="AW1" s="2" t="s">
        <v>43</v>
      </c>
      <c r="AX1" s="63" t="s">
        <v>44</v>
      </c>
      <c r="AY1" s="3" t="s">
        <v>45</v>
      </c>
      <c r="AZ1" s="2" t="s">
        <v>46</v>
      </c>
      <c r="BA1" s="64" t="s">
        <v>52</v>
      </c>
      <c r="BB1" s="64" t="s">
        <v>53</v>
      </c>
      <c r="BC1" s="11" t="s">
        <v>49</v>
      </c>
      <c r="BD1" s="3" t="s">
        <v>51</v>
      </c>
    </row>
    <row r="2" spans="1:56" s="14" customFormat="1" ht="30" x14ac:dyDescent="0.25">
      <c r="A2" s="77" t="s">
        <v>68</v>
      </c>
      <c r="B2" s="36" t="s">
        <v>58</v>
      </c>
      <c r="C2" s="35">
        <v>45859</v>
      </c>
      <c r="D2" s="36" t="s">
        <v>59</v>
      </c>
      <c r="E2" s="36" t="s">
        <v>67</v>
      </c>
      <c r="F2" s="46" t="s">
        <v>60</v>
      </c>
      <c r="G2" s="66" t="s">
        <v>61</v>
      </c>
      <c r="H2" s="67" t="s">
        <v>66</v>
      </c>
      <c r="I2" s="5">
        <v>44377</v>
      </c>
      <c r="J2" s="68">
        <v>11000</v>
      </c>
      <c r="K2" s="68">
        <v>10758.85</v>
      </c>
      <c r="L2" s="69">
        <v>21393.29</v>
      </c>
      <c r="M2" s="30">
        <f t="shared" ref="M2:M48" si="0">L2-K2</f>
        <v>10634.44</v>
      </c>
      <c r="N2" s="29">
        <f t="shared" ref="N2:N48" si="1">L2*18%*31/365*(S2+6)</f>
        <v>2289.3750887671235</v>
      </c>
      <c r="O2" s="31">
        <f t="shared" ref="O2:O48" si="2">L2+N2</f>
        <v>23682.665088767124</v>
      </c>
      <c r="P2" s="70" t="s">
        <v>62</v>
      </c>
      <c r="Q2" s="71">
        <v>16000</v>
      </c>
      <c r="R2" s="31">
        <f t="shared" ref="R2:R48" si="3">O2-Q2</f>
        <v>7682.665088767124</v>
      </c>
      <c r="S2" s="72">
        <v>1</v>
      </c>
      <c r="T2" s="73">
        <v>45859</v>
      </c>
      <c r="U2" s="74"/>
      <c r="V2" s="5"/>
      <c r="W2" s="68"/>
      <c r="X2" s="5"/>
      <c r="Y2" s="6"/>
      <c r="Z2" s="27" t="s">
        <v>47</v>
      </c>
      <c r="AA2" s="27" t="s">
        <v>48</v>
      </c>
      <c r="AB2" s="27" t="s">
        <v>48</v>
      </c>
      <c r="AC2" s="27" t="s">
        <v>48</v>
      </c>
      <c r="AD2" s="27" t="s">
        <v>48</v>
      </c>
      <c r="AE2" s="27" t="s">
        <v>48</v>
      </c>
      <c r="AF2" s="34" t="s">
        <v>63</v>
      </c>
      <c r="AG2" s="34" t="s">
        <v>64</v>
      </c>
      <c r="AH2" s="75"/>
      <c r="AI2" s="75" t="s">
        <v>65</v>
      </c>
      <c r="AJ2" s="75"/>
      <c r="AK2" s="75"/>
      <c r="AL2" s="12" t="str">
        <f>IF(AND($K2=0,$S2=1),("Recommend to accept RM "&amp;$Q2&amp;" as full and final settlement. Settlement amount covered NET CO of RM ()"),IF(AND($K2=0,$S2&gt;1),("Recommend to accept RM "&amp;$Q2&amp;"  in "&amp;$S2&amp;" installments as full and final settlement. Settlement amount covered NET CO of RM "),IF($P2="LUMP SUM",("Recommend to accept RM "&amp;$Q2&amp;" as full and final settlement."),("Recommend to accept RM "&amp;$Q2&amp;" in "&amp;$S2&amp;" installments as full and final settlement."))))</f>
        <v>Recommend to accept RM 16000 as full and final settlement.</v>
      </c>
      <c r="AM2" s="27"/>
      <c r="AN2" s="27"/>
      <c r="AO2" s="27"/>
      <c r="AP2" s="27"/>
      <c r="AQ2" s="27"/>
      <c r="AR2" s="68">
        <f>L2-K2</f>
        <v>10634.44</v>
      </c>
      <c r="AS2" s="68">
        <f t="shared" ref="AS2:AS48" si="4">AR2*60%</f>
        <v>6380.6639999999998</v>
      </c>
      <c r="AT2" s="68">
        <f t="shared" ref="AT2:AT48" si="5">AR2*30%</f>
        <v>3190.3319999999999</v>
      </c>
      <c r="AU2" s="68">
        <f t="shared" ref="AU2:AU48" si="6">AR2*10%</f>
        <v>1063.4440000000002</v>
      </c>
      <c r="AV2" s="76">
        <v>0.65</v>
      </c>
      <c r="AW2" s="26">
        <v>1</v>
      </c>
      <c r="AX2" s="76">
        <v>0</v>
      </c>
      <c r="AY2" s="25">
        <f t="shared" ref="AY2:AY48" si="7">K2</f>
        <v>10758.85</v>
      </c>
      <c r="AZ2" s="26">
        <v>0</v>
      </c>
      <c r="BA2" s="68">
        <f t="shared" ref="BA2:BA48" si="8">(5%/12*(AY2+AU2))*S2</f>
        <v>49.259558333333331</v>
      </c>
      <c r="BB2" s="68">
        <v>0</v>
      </c>
      <c r="BC2" s="29">
        <f>(AS2*(1-AV2))+(AT2*(1-AW2))+(AU2*(1-AX2))+AY2*((1-AZ2))+BA2+BB2</f>
        <v>14104.785958333334</v>
      </c>
      <c r="BD2" s="27" t="str">
        <f t="shared" ref="BD2:BD48" si="9">IF(Q2&gt;=BC2,"Yes", "No")</f>
        <v>Yes</v>
      </c>
    </row>
    <row r="3" spans="1:56" s="14" customFormat="1" x14ac:dyDescent="0.25">
      <c r="A3" s="27">
        <v>5</v>
      </c>
      <c r="B3" s="51"/>
      <c r="C3" s="52"/>
      <c r="D3" s="51"/>
      <c r="E3" s="51"/>
      <c r="F3" s="53"/>
      <c r="G3" s="53"/>
      <c r="H3" s="54"/>
      <c r="I3" s="5"/>
      <c r="J3" s="1"/>
      <c r="K3" s="1"/>
      <c r="L3" s="1"/>
      <c r="M3" s="30">
        <f t="shared" si="0"/>
        <v>0</v>
      </c>
      <c r="N3" s="29">
        <f t="shared" si="1"/>
        <v>0</v>
      </c>
      <c r="O3" s="31">
        <f t="shared" si="2"/>
        <v>0</v>
      </c>
      <c r="P3" s="59"/>
      <c r="Q3" s="60"/>
      <c r="R3" s="31">
        <f t="shared" si="3"/>
        <v>0</v>
      </c>
      <c r="S3" s="40"/>
      <c r="T3" s="41"/>
      <c r="U3" s="39"/>
      <c r="V3" s="5"/>
      <c r="W3" s="1"/>
      <c r="X3" s="5"/>
      <c r="Y3" s="6"/>
      <c r="Z3" s="27" t="s">
        <v>47</v>
      </c>
      <c r="AA3" s="27" t="s">
        <v>48</v>
      </c>
      <c r="AB3" s="27" t="s">
        <v>48</v>
      </c>
      <c r="AC3" s="27" t="s">
        <v>48</v>
      </c>
      <c r="AD3" s="27" t="s">
        <v>48</v>
      </c>
      <c r="AE3" s="27" t="s">
        <v>48</v>
      </c>
      <c r="AF3" s="34"/>
      <c r="AG3" s="34"/>
      <c r="AH3" s="34"/>
      <c r="AI3" s="34"/>
      <c r="AJ3" s="34"/>
      <c r="AK3" s="34"/>
      <c r="AL3" s="28"/>
      <c r="AM3" s="27"/>
      <c r="AN3" s="27"/>
      <c r="AO3" s="27"/>
      <c r="AP3" s="27"/>
      <c r="AQ3" s="27"/>
      <c r="AR3" s="1">
        <f t="shared" ref="AR2:AR48" si="10">L3-K3</f>
        <v>0</v>
      </c>
      <c r="AS3" s="1">
        <f t="shared" si="4"/>
        <v>0</v>
      </c>
      <c r="AT3" s="1">
        <f t="shared" si="5"/>
        <v>0</v>
      </c>
      <c r="AU3" s="1">
        <f t="shared" si="6"/>
        <v>0</v>
      </c>
      <c r="AV3" s="4"/>
      <c r="AW3" s="26">
        <v>1</v>
      </c>
      <c r="AX3" s="4"/>
      <c r="AY3" s="25">
        <f t="shared" si="7"/>
        <v>0</v>
      </c>
      <c r="AZ3" s="26">
        <v>0</v>
      </c>
      <c r="BA3" s="1">
        <f t="shared" si="8"/>
        <v>0</v>
      </c>
      <c r="BB3" s="1">
        <f t="shared" ref="BB3:BB48" si="11">(5%/12*(AY3+AU3))*S3</f>
        <v>0</v>
      </c>
      <c r="BC3" s="29">
        <f t="shared" ref="BC2:BC48" si="12">(AS3*(1-AV3))+(AT3*(1-AW3))+(AU3*(1-AX3))+AY3*((1-AZ3))+BA3+BB3</f>
        <v>0</v>
      </c>
      <c r="BD3" s="27" t="str">
        <f t="shared" si="9"/>
        <v>Yes</v>
      </c>
    </row>
    <row r="4" spans="1:56" s="14" customFormat="1" x14ac:dyDescent="0.25">
      <c r="A4" s="6">
        <v>6</v>
      </c>
      <c r="B4" s="51"/>
      <c r="C4" s="52"/>
      <c r="D4" s="51"/>
      <c r="E4" s="51"/>
      <c r="F4" s="53"/>
      <c r="G4" s="53"/>
      <c r="H4" s="54"/>
      <c r="I4" s="5"/>
      <c r="J4" s="1"/>
      <c r="K4" s="1"/>
      <c r="L4" s="1"/>
      <c r="M4" s="30">
        <f t="shared" si="0"/>
        <v>0</v>
      </c>
      <c r="N4" s="29">
        <f t="shared" si="1"/>
        <v>0</v>
      </c>
      <c r="O4" s="31">
        <f t="shared" si="2"/>
        <v>0</v>
      </c>
      <c r="P4" s="59"/>
      <c r="Q4" s="60"/>
      <c r="R4" s="31">
        <f t="shared" si="3"/>
        <v>0</v>
      </c>
      <c r="S4" s="40"/>
      <c r="T4" s="41"/>
      <c r="U4" s="39"/>
      <c r="V4" s="5"/>
      <c r="W4" s="1"/>
      <c r="X4" s="5"/>
      <c r="Y4" s="6"/>
      <c r="Z4" s="27" t="s">
        <v>47</v>
      </c>
      <c r="AA4" s="27" t="s">
        <v>48</v>
      </c>
      <c r="AB4" s="27" t="s">
        <v>48</v>
      </c>
      <c r="AC4" s="27" t="s">
        <v>48</v>
      </c>
      <c r="AD4" s="27" t="s">
        <v>48</v>
      </c>
      <c r="AE4" s="27" t="s">
        <v>48</v>
      </c>
      <c r="AF4" s="34"/>
      <c r="AG4" s="34"/>
      <c r="AH4" s="34"/>
      <c r="AI4" s="34"/>
      <c r="AJ4" s="34"/>
      <c r="AK4" s="34"/>
      <c r="AL4" s="28"/>
      <c r="AM4" s="27"/>
      <c r="AN4" s="27"/>
      <c r="AO4" s="27"/>
      <c r="AP4" s="27"/>
      <c r="AQ4" s="27"/>
      <c r="AR4" s="1">
        <f t="shared" si="10"/>
        <v>0</v>
      </c>
      <c r="AS4" s="1">
        <f t="shared" si="4"/>
        <v>0</v>
      </c>
      <c r="AT4" s="1">
        <f t="shared" si="5"/>
        <v>0</v>
      </c>
      <c r="AU4" s="1">
        <f t="shared" si="6"/>
        <v>0</v>
      </c>
      <c r="AV4" s="4"/>
      <c r="AW4" s="26">
        <v>1</v>
      </c>
      <c r="AX4" s="4"/>
      <c r="AY4" s="25">
        <f t="shared" si="7"/>
        <v>0</v>
      </c>
      <c r="AZ4" s="26">
        <v>0</v>
      </c>
      <c r="BA4" s="1">
        <f t="shared" si="8"/>
        <v>0</v>
      </c>
      <c r="BB4" s="1">
        <f t="shared" si="11"/>
        <v>0</v>
      </c>
      <c r="BC4" s="29">
        <f t="shared" si="12"/>
        <v>0</v>
      </c>
      <c r="BD4" s="27" t="str">
        <f t="shared" si="9"/>
        <v>Yes</v>
      </c>
    </row>
    <row r="5" spans="1:56" s="14" customFormat="1" x14ac:dyDescent="0.25">
      <c r="A5" s="27">
        <v>7</v>
      </c>
      <c r="B5" s="51"/>
      <c r="C5" s="52"/>
      <c r="D5" s="51"/>
      <c r="E5" s="51"/>
      <c r="F5" s="53"/>
      <c r="G5" s="53"/>
      <c r="H5" s="54"/>
      <c r="I5" s="5"/>
      <c r="J5" s="1"/>
      <c r="K5" s="1"/>
      <c r="L5" s="1"/>
      <c r="M5" s="30">
        <f>L5-K5</f>
        <v>0</v>
      </c>
      <c r="N5" s="29">
        <f t="shared" si="1"/>
        <v>0</v>
      </c>
      <c r="O5" s="31">
        <f t="shared" si="2"/>
        <v>0</v>
      </c>
      <c r="P5" s="59"/>
      <c r="Q5" s="60"/>
      <c r="R5" s="31">
        <f t="shared" si="3"/>
        <v>0</v>
      </c>
      <c r="S5" s="40"/>
      <c r="T5" s="41"/>
      <c r="U5" s="39"/>
      <c r="V5" s="5"/>
      <c r="W5" s="1"/>
      <c r="X5" s="5"/>
      <c r="Y5" s="6"/>
      <c r="Z5" s="27" t="s">
        <v>47</v>
      </c>
      <c r="AA5" s="27" t="s">
        <v>48</v>
      </c>
      <c r="AB5" s="27" t="s">
        <v>48</v>
      </c>
      <c r="AC5" s="27" t="s">
        <v>48</v>
      </c>
      <c r="AD5" s="27" t="s">
        <v>48</v>
      </c>
      <c r="AE5" s="27" t="s">
        <v>48</v>
      </c>
      <c r="AF5" s="46"/>
      <c r="AG5" s="47"/>
      <c r="AH5" s="34"/>
      <c r="AI5" s="34"/>
      <c r="AJ5" s="34"/>
      <c r="AK5" s="34"/>
      <c r="AL5" s="28"/>
      <c r="AM5" s="27"/>
      <c r="AN5" s="27"/>
      <c r="AO5" s="27"/>
      <c r="AP5" s="27"/>
      <c r="AQ5" s="27"/>
      <c r="AR5" s="1">
        <f t="shared" si="10"/>
        <v>0</v>
      </c>
      <c r="AS5" s="1">
        <f t="shared" si="4"/>
        <v>0</v>
      </c>
      <c r="AT5" s="1">
        <f t="shared" si="5"/>
        <v>0</v>
      </c>
      <c r="AU5" s="1">
        <f t="shared" si="6"/>
        <v>0</v>
      </c>
      <c r="AV5" s="4"/>
      <c r="AW5" s="26">
        <v>1</v>
      </c>
      <c r="AX5" s="4"/>
      <c r="AY5" s="25">
        <f t="shared" si="7"/>
        <v>0</v>
      </c>
      <c r="AZ5" s="26">
        <v>0</v>
      </c>
      <c r="BA5" s="1">
        <f t="shared" si="8"/>
        <v>0</v>
      </c>
      <c r="BB5" s="1">
        <f t="shared" si="11"/>
        <v>0</v>
      </c>
      <c r="BC5" s="29">
        <f t="shared" si="12"/>
        <v>0</v>
      </c>
      <c r="BD5" s="27" t="str">
        <f t="shared" si="9"/>
        <v>Yes</v>
      </c>
    </row>
    <row r="6" spans="1:56" s="14" customFormat="1" x14ac:dyDescent="0.25">
      <c r="A6" s="6">
        <v>8</v>
      </c>
      <c r="B6" s="51"/>
      <c r="C6" s="52"/>
      <c r="D6" s="51"/>
      <c r="E6" s="51"/>
      <c r="F6" s="53"/>
      <c r="G6" s="53"/>
      <c r="H6" s="54"/>
      <c r="I6" s="5"/>
      <c r="J6" s="1"/>
      <c r="K6" s="1"/>
      <c r="L6" s="1"/>
      <c r="M6" s="30">
        <f t="shared" si="0"/>
        <v>0</v>
      </c>
      <c r="N6" s="29">
        <f t="shared" si="1"/>
        <v>0</v>
      </c>
      <c r="O6" s="31">
        <f t="shared" si="2"/>
        <v>0</v>
      </c>
      <c r="P6" s="59"/>
      <c r="Q6" s="60"/>
      <c r="R6" s="31">
        <f t="shared" si="3"/>
        <v>0</v>
      </c>
      <c r="S6" s="40"/>
      <c r="T6" s="41"/>
      <c r="U6" s="39"/>
      <c r="V6" s="5"/>
      <c r="W6" s="1"/>
      <c r="X6" s="5"/>
      <c r="Y6" s="6"/>
      <c r="Z6" s="27" t="s">
        <v>47</v>
      </c>
      <c r="AA6" s="27" t="s">
        <v>48</v>
      </c>
      <c r="AB6" s="27" t="s">
        <v>48</v>
      </c>
      <c r="AC6" s="27" t="s">
        <v>48</v>
      </c>
      <c r="AD6" s="27" t="s">
        <v>48</v>
      </c>
      <c r="AE6" s="27" t="s">
        <v>48</v>
      </c>
      <c r="AF6" s="46"/>
      <c r="AG6" s="47"/>
      <c r="AH6" s="34"/>
      <c r="AI6" s="34"/>
      <c r="AJ6" s="34"/>
      <c r="AK6" s="34"/>
      <c r="AL6" s="28"/>
      <c r="AM6" s="27"/>
      <c r="AN6" s="27"/>
      <c r="AO6" s="27"/>
      <c r="AP6" s="27"/>
      <c r="AQ6" s="27"/>
      <c r="AR6" s="1">
        <f t="shared" si="10"/>
        <v>0</v>
      </c>
      <c r="AS6" s="1">
        <f t="shared" si="4"/>
        <v>0</v>
      </c>
      <c r="AT6" s="1">
        <f t="shared" si="5"/>
        <v>0</v>
      </c>
      <c r="AU6" s="1">
        <f t="shared" si="6"/>
        <v>0</v>
      </c>
      <c r="AV6" s="4"/>
      <c r="AW6" s="26">
        <v>1</v>
      </c>
      <c r="AX6" s="4"/>
      <c r="AY6" s="25">
        <f t="shared" si="7"/>
        <v>0</v>
      </c>
      <c r="AZ6" s="26">
        <v>0</v>
      </c>
      <c r="BA6" s="1">
        <f t="shared" si="8"/>
        <v>0</v>
      </c>
      <c r="BB6" s="1">
        <f t="shared" si="11"/>
        <v>0</v>
      </c>
      <c r="BC6" s="29">
        <f t="shared" si="12"/>
        <v>0</v>
      </c>
      <c r="BD6" s="27" t="str">
        <f t="shared" si="9"/>
        <v>Yes</v>
      </c>
    </row>
    <row r="7" spans="1:56" s="14" customFormat="1" x14ac:dyDescent="0.25">
      <c r="A7" s="27">
        <v>9</v>
      </c>
      <c r="B7" s="36"/>
      <c r="C7" s="35"/>
      <c r="D7" s="36"/>
      <c r="E7" s="36"/>
      <c r="F7" s="55"/>
      <c r="G7" s="55"/>
      <c r="H7" s="65"/>
      <c r="I7" s="5"/>
      <c r="J7" s="1"/>
      <c r="K7" s="1"/>
      <c r="L7" s="1"/>
      <c r="M7" s="30">
        <f t="shared" si="0"/>
        <v>0</v>
      </c>
      <c r="N7" s="29">
        <f t="shared" si="1"/>
        <v>0</v>
      </c>
      <c r="O7" s="31">
        <f t="shared" si="2"/>
        <v>0</v>
      </c>
      <c r="P7" s="57"/>
      <c r="Q7" s="58"/>
      <c r="R7" s="31">
        <f t="shared" si="3"/>
        <v>0</v>
      </c>
      <c r="S7" s="40"/>
      <c r="T7" s="41"/>
      <c r="U7" s="39"/>
      <c r="V7" s="5"/>
      <c r="W7" s="1"/>
      <c r="X7" s="5"/>
      <c r="Y7" s="6"/>
      <c r="Z7" s="27" t="s">
        <v>47</v>
      </c>
      <c r="AA7" s="27" t="s">
        <v>48</v>
      </c>
      <c r="AB7" s="27" t="s">
        <v>48</v>
      </c>
      <c r="AC7" s="27" t="s">
        <v>48</v>
      </c>
      <c r="AD7" s="27" t="s">
        <v>48</v>
      </c>
      <c r="AE7" s="27" t="s">
        <v>48</v>
      </c>
      <c r="AF7" s="46"/>
      <c r="AG7" s="47"/>
      <c r="AH7" s="34"/>
      <c r="AI7" s="34"/>
      <c r="AJ7" s="34"/>
      <c r="AK7" s="34"/>
      <c r="AL7" s="28"/>
      <c r="AM7" s="27"/>
      <c r="AN7" s="27"/>
      <c r="AO7" s="27"/>
      <c r="AP7" s="27"/>
      <c r="AQ7" s="27"/>
      <c r="AR7" s="1">
        <f t="shared" si="10"/>
        <v>0</v>
      </c>
      <c r="AS7" s="1">
        <f t="shared" si="4"/>
        <v>0</v>
      </c>
      <c r="AT7" s="1">
        <f t="shared" si="5"/>
        <v>0</v>
      </c>
      <c r="AU7" s="1">
        <f t="shared" si="6"/>
        <v>0</v>
      </c>
      <c r="AV7" s="4"/>
      <c r="AW7" s="26">
        <v>1</v>
      </c>
      <c r="AX7" s="4"/>
      <c r="AY7" s="25">
        <f t="shared" si="7"/>
        <v>0</v>
      </c>
      <c r="AZ7" s="26">
        <v>0</v>
      </c>
      <c r="BA7" s="1">
        <f t="shared" si="8"/>
        <v>0</v>
      </c>
      <c r="BB7" s="1">
        <f t="shared" si="11"/>
        <v>0</v>
      </c>
      <c r="BC7" s="29">
        <f t="shared" si="12"/>
        <v>0</v>
      </c>
      <c r="BD7" s="27" t="str">
        <f t="shared" si="9"/>
        <v>Yes</v>
      </c>
    </row>
    <row r="8" spans="1:56" s="14" customFormat="1" x14ac:dyDescent="0.25">
      <c r="A8" s="6">
        <v>10</v>
      </c>
      <c r="B8" s="36"/>
      <c r="C8" s="35"/>
      <c r="D8" s="36"/>
      <c r="E8" s="36"/>
      <c r="F8" s="50"/>
      <c r="G8" s="50"/>
      <c r="H8" s="56"/>
      <c r="I8" s="5"/>
      <c r="J8" s="1"/>
      <c r="K8" s="1"/>
      <c r="L8" s="1"/>
      <c r="M8" s="30">
        <f t="shared" si="0"/>
        <v>0</v>
      </c>
      <c r="N8" s="29">
        <f t="shared" si="1"/>
        <v>0</v>
      </c>
      <c r="O8" s="31">
        <f t="shared" si="2"/>
        <v>0</v>
      </c>
      <c r="P8" s="57"/>
      <c r="Q8" s="58"/>
      <c r="R8" s="31">
        <f t="shared" si="3"/>
        <v>0</v>
      </c>
      <c r="S8" s="40"/>
      <c r="T8" s="41"/>
      <c r="U8" s="39"/>
      <c r="V8" s="5"/>
      <c r="W8" s="1"/>
      <c r="X8" s="5"/>
      <c r="Y8" s="6"/>
      <c r="Z8" s="27" t="s">
        <v>47</v>
      </c>
      <c r="AA8" s="27" t="s">
        <v>48</v>
      </c>
      <c r="AB8" s="27" t="s">
        <v>48</v>
      </c>
      <c r="AC8" s="27" t="s">
        <v>48</v>
      </c>
      <c r="AD8" s="27" t="s">
        <v>48</v>
      </c>
      <c r="AE8" s="27" t="s">
        <v>48</v>
      </c>
      <c r="AF8" s="46"/>
      <c r="AG8" s="47"/>
      <c r="AH8" s="34"/>
      <c r="AI8" s="34"/>
      <c r="AJ8" s="34"/>
      <c r="AK8" s="34"/>
      <c r="AL8" s="28"/>
      <c r="AM8" s="27"/>
      <c r="AN8" s="27"/>
      <c r="AO8" s="27"/>
      <c r="AP8" s="27"/>
      <c r="AQ8" s="27"/>
      <c r="AR8" s="1">
        <f t="shared" si="10"/>
        <v>0</v>
      </c>
      <c r="AS8" s="1">
        <f t="shared" si="4"/>
        <v>0</v>
      </c>
      <c r="AT8" s="1">
        <f t="shared" si="5"/>
        <v>0</v>
      </c>
      <c r="AU8" s="1">
        <f t="shared" si="6"/>
        <v>0</v>
      </c>
      <c r="AV8" s="4"/>
      <c r="AW8" s="26">
        <v>1</v>
      </c>
      <c r="AX8" s="4"/>
      <c r="AY8" s="25">
        <f t="shared" si="7"/>
        <v>0</v>
      </c>
      <c r="AZ8" s="26">
        <v>0</v>
      </c>
      <c r="BA8" s="1">
        <f t="shared" si="8"/>
        <v>0</v>
      </c>
      <c r="BB8" s="1">
        <f t="shared" si="11"/>
        <v>0</v>
      </c>
      <c r="BC8" s="29">
        <f t="shared" si="12"/>
        <v>0</v>
      </c>
      <c r="BD8" s="27" t="str">
        <f t="shared" si="9"/>
        <v>Yes</v>
      </c>
    </row>
    <row r="9" spans="1:56" s="14" customFormat="1" x14ac:dyDescent="0.25">
      <c r="A9" s="27">
        <v>11</v>
      </c>
      <c r="B9" s="34"/>
      <c r="C9" s="35"/>
      <c r="D9" s="34"/>
      <c r="E9" s="36"/>
      <c r="F9" s="50"/>
      <c r="G9" s="50"/>
      <c r="H9" s="38"/>
      <c r="I9" s="5"/>
      <c r="J9" s="1"/>
      <c r="K9" s="1"/>
      <c r="L9" s="1"/>
      <c r="M9" s="30">
        <f t="shared" si="0"/>
        <v>0</v>
      </c>
      <c r="N9" s="29">
        <f t="shared" si="1"/>
        <v>0</v>
      </c>
      <c r="O9" s="31">
        <f t="shared" si="2"/>
        <v>0</v>
      </c>
      <c r="P9" s="57"/>
      <c r="Q9" s="58"/>
      <c r="R9" s="31">
        <f t="shared" si="3"/>
        <v>0</v>
      </c>
      <c r="S9" s="40"/>
      <c r="T9" s="41"/>
      <c r="U9" s="39"/>
      <c r="V9" s="5"/>
      <c r="W9" s="1"/>
      <c r="X9" s="5"/>
      <c r="Y9" s="6"/>
      <c r="Z9" s="27" t="s">
        <v>47</v>
      </c>
      <c r="AA9" s="27" t="s">
        <v>48</v>
      </c>
      <c r="AB9" s="27" t="s">
        <v>48</v>
      </c>
      <c r="AC9" s="27" t="s">
        <v>48</v>
      </c>
      <c r="AD9" s="27" t="s">
        <v>48</v>
      </c>
      <c r="AE9" s="27" t="s">
        <v>48</v>
      </c>
      <c r="AF9" s="46"/>
      <c r="AG9" s="47"/>
      <c r="AH9" s="34"/>
      <c r="AI9" s="34"/>
      <c r="AJ9" s="34"/>
      <c r="AK9" s="34"/>
      <c r="AL9" s="28"/>
      <c r="AM9" s="27"/>
      <c r="AN9" s="27"/>
      <c r="AO9" s="27"/>
      <c r="AP9" s="27"/>
      <c r="AQ9" s="27"/>
      <c r="AR9" s="1">
        <f t="shared" si="10"/>
        <v>0</v>
      </c>
      <c r="AS9" s="1">
        <f t="shared" si="4"/>
        <v>0</v>
      </c>
      <c r="AT9" s="1">
        <f t="shared" si="5"/>
        <v>0</v>
      </c>
      <c r="AU9" s="1">
        <f t="shared" si="6"/>
        <v>0</v>
      </c>
      <c r="AV9" s="4"/>
      <c r="AW9" s="26">
        <v>1</v>
      </c>
      <c r="AX9" s="4"/>
      <c r="AY9" s="25">
        <f t="shared" si="7"/>
        <v>0</v>
      </c>
      <c r="AZ9" s="26">
        <v>0</v>
      </c>
      <c r="BA9" s="1">
        <f t="shared" si="8"/>
        <v>0</v>
      </c>
      <c r="BB9" s="1">
        <f t="shared" si="11"/>
        <v>0</v>
      </c>
      <c r="BC9" s="29">
        <f t="shared" si="12"/>
        <v>0</v>
      </c>
      <c r="BD9" s="27" t="str">
        <f t="shared" si="9"/>
        <v>Yes</v>
      </c>
    </row>
    <row r="10" spans="1:56" s="14" customFormat="1" x14ac:dyDescent="0.25">
      <c r="A10" s="6">
        <v>12</v>
      </c>
      <c r="B10" s="34"/>
      <c r="C10" s="35"/>
      <c r="D10" s="34"/>
      <c r="E10" s="36"/>
      <c r="F10" s="50"/>
      <c r="G10" s="50"/>
      <c r="H10" s="37"/>
      <c r="I10" s="5"/>
      <c r="J10" s="1"/>
      <c r="K10" s="1"/>
      <c r="L10" s="1"/>
      <c r="M10" s="30">
        <f t="shared" si="0"/>
        <v>0</v>
      </c>
      <c r="N10" s="29">
        <f t="shared" si="1"/>
        <v>0</v>
      </c>
      <c r="O10" s="31">
        <f t="shared" si="2"/>
        <v>0</v>
      </c>
      <c r="P10" s="36"/>
      <c r="Q10" s="43"/>
      <c r="R10" s="31">
        <f t="shared" si="3"/>
        <v>0</v>
      </c>
      <c r="S10" s="40"/>
      <c r="T10" s="35"/>
      <c r="U10" s="43"/>
      <c r="V10" s="5"/>
      <c r="W10" s="1"/>
      <c r="X10" s="5"/>
      <c r="Y10" s="6"/>
      <c r="Z10" s="27" t="s">
        <v>47</v>
      </c>
      <c r="AA10" s="27" t="s">
        <v>48</v>
      </c>
      <c r="AB10" s="27" t="s">
        <v>48</v>
      </c>
      <c r="AC10" s="27" t="s">
        <v>48</v>
      </c>
      <c r="AD10" s="27" t="s">
        <v>48</v>
      </c>
      <c r="AE10" s="27" t="s">
        <v>48</v>
      </c>
      <c r="AF10" s="46"/>
      <c r="AG10" s="46"/>
      <c r="AH10" s="48"/>
      <c r="AI10" s="48"/>
      <c r="AJ10" s="48"/>
      <c r="AK10" s="48"/>
      <c r="AL10" s="28"/>
      <c r="AM10" s="27"/>
      <c r="AN10" s="27"/>
      <c r="AO10" s="27"/>
      <c r="AP10" s="27"/>
      <c r="AQ10" s="27"/>
      <c r="AR10" s="1">
        <f t="shared" si="10"/>
        <v>0</v>
      </c>
      <c r="AS10" s="1">
        <f t="shared" si="4"/>
        <v>0</v>
      </c>
      <c r="AT10" s="1">
        <f t="shared" si="5"/>
        <v>0</v>
      </c>
      <c r="AU10" s="1">
        <f t="shared" si="6"/>
        <v>0</v>
      </c>
      <c r="AV10" s="4"/>
      <c r="AW10" s="26">
        <v>1</v>
      </c>
      <c r="AX10" s="4"/>
      <c r="AY10" s="25">
        <f t="shared" si="7"/>
        <v>0</v>
      </c>
      <c r="AZ10" s="26">
        <v>0</v>
      </c>
      <c r="BA10" s="1">
        <f t="shared" si="8"/>
        <v>0</v>
      </c>
      <c r="BB10" s="1">
        <f t="shared" si="11"/>
        <v>0</v>
      </c>
      <c r="BC10" s="29">
        <f t="shared" si="12"/>
        <v>0</v>
      </c>
      <c r="BD10" s="27" t="str">
        <f t="shared" si="9"/>
        <v>Yes</v>
      </c>
    </row>
    <row r="11" spans="1:56" s="14" customFormat="1" x14ac:dyDescent="0.25">
      <c r="A11" s="27">
        <v>13</v>
      </c>
      <c r="B11" s="34"/>
      <c r="C11" s="35"/>
      <c r="D11" s="34"/>
      <c r="E11" s="36"/>
      <c r="F11" s="50"/>
      <c r="G11" s="50"/>
      <c r="H11" s="37"/>
      <c r="I11" s="5"/>
      <c r="J11" s="1"/>
      <c r="K11" s="1"/>
      <c r="L11" s="1"/>
      <c r="M11" s="30">
        <f t="shared" si="0"/>
        <v>0</v>
      </c>
      <c r="N11" s="29">
        <f t="shared" si="1"/>
        <v>0</v>
      </c>
      <c r="O11" s="31">
        <f t="shared" si="2"/>
        <v>0</v>
      </c>
      <c r="P11" s="36"/>
      <c r="Q11" s="43"/>
      <c r="R11" s="31">
        <f t="shared" si="3"/>
        <v>0</v>
      </c>
      <c r="S11" s="40"/>
      <c r="T11" s="35"/>
      <c r="U11" s="43"/>
      <c r="V11" s="5"/>
      <c r="W11" s="1"/>
      <c r="X11" s="5"/>
      <c r="Y11" s="6"/>
      <c r="Z11" s="27" t="s">
        <v>47</v>
      </c>
      <c r="AA11" s="27" t="s">
        <v>48</v>
      </c>
      <c r="AB11" s="27" t="s">
        <v>48</v>
      </c>
      <c r="AC11" s="27" t="s">
        <v>48</v>
      </c>
      <c r="AD11" s="27" t="s">
        <v>48</v>
      </c>
      <c r="AE11" s="27" t="s">
        <v>48</v>
      </c>
      <c r="AF11" s="46"/>
      <c r="AG11" s="46"/>
      <c r="AH11" s="49"/>
      <c r="AI11" s="49"/>
      <c r="AJ11" s="49"/>
      <c r="AK11" s="49"/>
      <c r="AL11" s="28"/>
      <c r="AM11" s="27"/>
      <c r="AN11" s="27"/>
      <c r="AO11" s="27"/>
      <c r="AP11" s="27"/>
      <c r="AQ11" s="27"/>
      <c r="AR11" s="1">
        <f t="shared" si="10"/>
        <v>0</v>
      </c>
      <c r="AS11" s="1">
        <f t="shared" si="4"/>
        <v>0</v>
      </c>
      <c r="AT11" s="1">
        <f t="shared" si="5"/>
        <v>0</v>
      </c>
      <c r="AU11" s="1">
        <f t="shared" si="6"/>
        <v>0</v>
      </c>
      <c r="AV11" s="4"/>
      <c r="AW11" s="26">
        <v>1</v>
      </c>
      <c r="AX11" s="4"/>
      <c r="AY11" s="25">
        <f t="shared" si="7"/>
        <v>0</v>
      </c>
      <c r="AZ11" s="26">
        <v>0</v>
      </c>
      <c r="BA11" s="1">
        <f t="shared" si="8"/>
        <v>0</v>
      </c>
      <c r="BB11" s="1">
        <f t="shared" si="11"/>
        <v>0</v>
      </c>
      <c r="BC11" s="29">
        <f t="shared" si="12"/>
        <v>0</v>
      </c>
      <c r="BD11" s="27" t="str">
        <f t="shared" si="9"/>
        <v>Yes</v>
      </c>
    </row>
    <row r="12" spans="1:56" s="14" customFormat="1" x14ac:dyDescent="0.25">
      <c r="A12" s="6">
        <v>14</v>
      </c>
      <c r="B12" s="34"/>
      <c r="C12" s="35"/>
      <c r="D12" s="34"/>
      <c r="E12" s="36"/>
      <c r="F12" s="50"/>
      <c r="G12" s="50"/>
      <c r="H12" s="37"/>
      <c r="I12" s="5"/>
      <c r="J12" s="1"/>
      <c r="K12" s="1"/>
      <c r="L12" s="1"/>
      <c r="M12" s="30">
        <f t="shared" si="0"/>
        <v>0</v>
      </c>
      <c r="N12" s="29">
        <f t="shared" si="1"/>
        <v>0</v>
      </c>
      <c r="O12" s="31">
        <f t="shared" si="2"/>
        <v>0</v>
      </c>
      <c r="P12" s="36"/>
      <c r="Q12" s="43"/>
      <c r="R12" s="31">
        <f t="shared" si="3"/>
        <v>0</v>
      </c>
      <c r="S12" s="40"/>
      <c r="T12" s="41"/>
      <c r="U12" s="43"/>
      <c r="V12" s="5"/>
      <c r="W12" s="1"/>
      <c r="X12" s="5"/>
      <c r="Y12" s="6"/>
      <c r="Z12" s="27" t="s">
        <v>47</v>
      </c>
      <c r="AA12" s="27" t="s">
        <v>48</v>
      </c>
      <c r="AB12" s="27" t="s">
        <v>48</v>
      </c>
      <c r="AC12" s="27" t="s">
        <v>48</v>
      </c>
      <c r="AD12" s="27" t="s">
        <v>48</v>
      </c>
      <c r="AE12" s="27" t="s">
        <v>48</v>
      </c>
      <c r="AF12" s="46"/>
      <c r="AG12" s="46"/>
      <c r="AH12" s="49"/>
      <c r="AI12" s="49"/>
      <c r="AJ12" s="49"/>
      <c r="AK12" s="49"/>
      <c r="AL12" s="28"/>
      <c r="AM12" s="27"/>
      <c r="AN12" s="27"/>
      <c r="AO12" s="27"/>
      <c r="AP12" s="27"/>
      <c r="AQ12" s="27"/>
      <c r="AR12" s="1">
        <f t="shared" si="10"/>
        <v>0</v>
      </c>
      <c r="AS12" s="1">
        <f t="shared" si="4"/>
        <v>0</v>
      </c>
      <c r="AT12" s="1">
        <f t="shared" si="5"/>
        <v>0</v>
      </c>
      <c r="AU12" s="1">
        <f t="shared" si="6"/>
        <v>0</v>
      </c>
      <c r="AV12" s="4"/>
      <c r="AW12" s="26">
        <v>1</v>
      </c>
      <c r="AX12" s="4"/>
      <c r="AY12" s="25">
        <f t="shared" si="7"/>
        <v>0</v>
      </c>
      <c r="AZ12" s="26">
        <v>0</v>
      </c>
      <c r="BA12" s="1">
        <f t="shared" si="8"/>
        <v>0</v>
      </c>
      <c r="BB12" s="1">
        <f t="shared" si="11"/>
        <v>0</v>
      </c>
      <c r="BC12" s="29">
        <f t="shared" si="12"/>
        <v>0</v>
      </c>
      <c r="BD12" s="27" t="str">
        <f t="shared" si="9"/>
        <v>Yes</v>
      </c>
    </row>
    <row r="13" spans="1:56" s="14" customFormat="1" x14ac:dyDescent="0.25">
      <c r="A13" s="27">
        <v>15</v>
      </c>
      <c r="B13" s="34"/>
      <c r="C13" s="35"/>
      <c r="D13" s="34"/>
      <c r="E13" s="36"/>
      <c r="F13" s="50"/>
      <c r="G13" s="50"/>
      <c r="H13" s="38"/>
      <c r="I13" s="5"/>
      <c r="J13" s="1"/>
      <c r="K13" s="1"/>
      <c r="L13" s="1"/>
      <c r="M13" s="30">
        <f t="shared" si="0"/>
        <v>0</v>
      </c>
      <c r="N13" s="29">
        <f t="shared" si="1"/>
        <v>0</v>
      </c>
      <c r="O13" s="31">
        <f t="shared" si="2"/>
        <v>0</v>
      </c>
      <c r="P13" s="36"/>
      <c r="Q13" s="39"/>
      <c r="R13" s="31">
        <f t="shared" si="3"/>
        <v>0</v>
      </c>
      <c r="S13" s="44"/>
      <c r="T13" s="45"/>
      <c r="U13" s="39"/>
      <c r="V13" s="5"/>
      <c r="W13" s="1"/>
      <c r="X13" s="5"/>
      <c r="Y13" s="6"/>
      <c r="Z13" s="27" t="s">
        <v>47</v>
      </c>
      <c r="AA13" s="27" t="s">
        <v>48</v>
      </c>
      <c r="AB13" s="27" t="s">
        <v>48</v>
      </c>
      <c r="AC13" s="27" t="s">
        <v>48</v>
      </c>
      <c r="AD13" s="27" t="s">
        <v>48</v>
      </c>
      <c r="AE13" s="27" t="s">
        <v>48</v>
      </c>
      <c r="AF13" s="46"/>
      <c r="AG13" s="47"/>
      <c r="AH13" s="34"/>
      <c r="AI13" s="34"/>
      <c r="AJ13" s="34"/>
      <c r="AK13" s="34"/>
      <c r="AL13" s="28"/>
      <c r="AM13" s="27"/>
      <c r="AN13" s="27"/>
      <c r="AO13" s="27"/>
      <c r="AP13" s="27"/>
      <c r="AQ13" s="27"/>
      <c r="AR13" s="1">
        <f t="shared" si="10"/>
        <v>0</v>
      </c>
      <c r="AS13" s="1">
        <f t="shared" si="4"/>
        <v>0</v>
      </c>
      <c r="AT13" s="1">
        <f t="shared" si="5"/>
        <v>0</v>
      </c>
      <c r="AU13" s="1">
        <f t="shared" si="6"/>
        <v>0</v>
      </c>
      <c r="AV13" s="4"/>
      <c r="AW13" s="26">
        <v>1</v>
      </c>
      <c r="AX13" s="4"/>
      <c r="AY13" s="25">
        <f t="shared" si="7"/>
        <v>0</v>
      </c>
      <c r="AZ13" s="26">
        <v>0</v>
      </c>
      <c r="BA13" s="1">
        <f t="shared" si="8"/>
        <v>0</v>
      </c>
      <c r="BB13" s="1">
        <f t="shared" si="11"/>
        <v>0</v>
      </c>
      <c r="BC13" s="29">
        <f t="shared" si="12"/>
        <v>0</v>
      </c>
      <c r="BD13" s="27" t="str">
        <f t="shared" si="9"/>
        <v>Yes</v>
      </c>
    </row>
    <row r="14" spans="1:56" s="14" customFormat="1" x14ac:dyDescent="0.25">
      <c r="A14" s="6">
        <v>16</v>
      </c>
      <c r="B14" s="34"/>
      <c r="C14" s="35"/>
      <c r="D14" s="34"/>
      <c r="E14" s="36"/>
      <c r="F14" s="50"/>
      <c r="G14" s="50"/>
      <c r="H14" s="38"/>
      <c r="I14" s="5"/>
      <c r="J14" s="1"/>
      <c r="K14" s="1"/>
      <c r="L14" s="1"/>
      <c r="M14" s="30">
        <f t="shared" si="0"/>
        <v>0</v>
      </c>
      <c r="N14" s="29">
        <f t="shared" si="1"/>
        <v>0</v>
      </c>
      <c r="O14" s="31">
        <f t="shared" si="2"/>
        <v>0</v>
      </c>
      <c r="P14" s="36"/>
      <c r="Q14" s="39"/>
      <c r="R14" s="31">
        <f t="shared" si="3"/>
        <v>0</v>
      </c>
      <c r="S14" s="44"/>
      <c r="T14" s="45"/>
      <c r="U14" s="39"/>
      <c r="V14" s="5"/>
      <c r="W14" s="1"/>
      <c r="X14" s="5"/>
      <c r="Y14" s="6"/>
      <c r="Z14" s="27" t="s">
        <v>47</v>
      </c>
      <c r="AA14" s="27" t="s">
        <v>48</v>
      </c>
      <c r="AB14" s="27" t="s">
        <v>48</v>
      </c>
      <c r="AC14" s="27" t="s">
        <v>48</v>
      </c>
      <c r="AD14" s="27" t="s">
        <v>48</v>
      </c>
      <c r="AE14" s="27" t="s">
        <v>48</v>
      </c>
      <c r="AF14" s="46"/>
      <c r="AG14" s="47"/>
      <c r="AH14" s="34"/>
      <c r="AI14" s="34"/>
      <c r="AJ14" s="34"/>
      <c r="AK14" s="34"/>
      <c r="AL14" s="28"/>
      <c r="AM14" s="27"/>
      <c r="AN14" s="27"/>
      <c r="AO14" s="27"/>
      <c r="AP14" s="27"/>
      <c r="AQ14" s="27"/>
      <c r="AR14" s="1">
        <f t="shared" si="10"/>
        <v>0</v>
      </c>
      <c r="AS14" s="1">
        <f t="shared" si="4"/>
        <v>0</v>
      </c>
      <c r="AT14" s="1">
        <f t="shared" si="5"/>
        <v>0</v>
      </c>
      <c r="AU14" s="1">
        <f t="shared" si="6"/>
        <v>0</v>
      </c>
      <c r="AV14" s="4"/>
      <c r="AW14" s="26">
        <v>1</v>
      </c>
      <c r="AX14" s="4"/>
      <c r="AY14" s="25">
        <f t="shared" si="7"/>
        <v>0</v>
      </c>
      <c r="AZ14" s="26">
        <v>0</v>
      </c>
      <c r="BA14" s="1">
        <f t="shared" si="8"/>
        <v>0</v>
      </c>
      <c r="BB14" s="1">
        <f t="shared" si="11"/>
        <v>0</v>
      </c>
      <c r="BC14" s="29">
        <f t="shared" si="12"/>
        <v>0</v>
      </c>
      <c r="BD14" s="27" t="str">
        <f t="shared" si="9"/>
        <v>Yes</v>
      </c>
    </row>
    <row r="15" spans="1:56" s="14" customFormat="1" x14ac:dyDescent="0.25">
      <c r="A15" s="27">
        <v>17</v>
      </c>
      <c r="B15" s="34"/>
      <c r="C15" s="35"/>
      <c r="D15" s="34"/>
      <c r="E15" s="36"/>
      <c r="F15" s="50"/>
      <c r="G15" s="50"/>
      <c r="H15" s="38"/>
      <c r="I15" s="5"/>
      <c r="J15" s="1"/>
      <c r="K15" s="1"/>
      <c r="L15" s="1"/>
      <c r="M15" s="30">
        <f t="shared" si="0"/>
        <v>0</v>
      </c>
      <c r="N15" s="29">
        <f t="shared" si="1"/>
        <v>0</v>
      </c>
      <c r="O15" s="31">
        <f t="shared" si="2"/>
        <v>0</v>
      </c>
      <c r="P15" s="36"/>
      <c r="Q15" s="39"/>
      <c r="R15" s="31">
        <f t="shared" si="3"/>
        <v>0</v>
      </c>
      <c r="S15" s="44"/>
      <c r="T15" s="45"/>
      <c r="U15" s="39"/>
      <c r="V15" s="5"/>
      <c r="W15" s="1"/>
      <c r="X15" s="5"/>
      <c r="Y15" s="6"/>
      <c r="Z15" s="27" t="s">
        <v>47</v>
      </c>
      <c r="AA15" s="27" t="s">
        <v>48</v>
      </c>
      <c r="AB15" s="27" t="s">
        <v>48</v>
      </c>
      <c r="AC15" s="27" t="s">
        <v>48</v>
      </c>
      <c r="AD15" s="27" t="s">
        <v>48</v>
      </c>
      <c r="AE15" s="27" t="s">
        <v>48</v>
      </c>
      <c r="AF15" s="46"/>
      <c r="AG15" s="47"/>
      <c r="AH15" s="34"/>
      <c r="AI15" s="34"/>
      <c r="AJ15" s="34"/>
      <c r="AK15" s="34"/>
      <c r="AL15" s="28"/>
      <c r="AM15" s="27"/>
      <c r="AN15" s="27"/>
      <c r="AO15" s="27"/>
      <c r="AP15" s="27"/>
      <c r="AQ15" s="27"/>
      <c r="AR15" s="1">
        <f t="shared" si="10"/>
        <v>0</v>
      </c>
      <c r="AS15" s="1">
        <f t="shared" si="4"/>
        <v>0</v>
      </c>
      <c r="AT15" s="1">
        <f t="shared" si="5"/>
        <v>0</v>
      </c>
      <c r="AU15" s="1">
        <f t="shared" si="6"/>
        <v>0</v>
      </c>
      <c r="AV15" s="4"/>
      <c r="AW15" s="26">
        <v>1</v>
      </c>
      <c r="AX15" s="4"/>
      <c r="AY15" s="25">
        <f t="shared" si="7"/>
        <v>0</v>
      </c>
      <c r="AZ15" s="26">
        <v>0</v>
      </c>
      <c r="BA15" s="1">
        <f t="shared" si="8"/>
        <v>0</v>
      </c>
      <c r="BB15" s="1">
        <f t="shared" si="11"/>
        <v>0</v>
      </c>
      <c r="BC15" s="29">
        <f t="shared" si="12"/>
        <v>0</v>
      </c>
      <c r="BD15" s="27" t="str">
        <f t="shared" si="9"/>
        <v>Yes</v>
      </c>
    </row>
    <row r="16" spans="1:56" s="14" customFormat="1" x14ac:dyDescent="0.25">
      <c r="A16" s="6">
        <v>18</v>
      </c>
      <c r="B16" s="34"/>
      <c r="C16" s="35"/>
      <c r="D16" s="34"/>
      <c r="E16" s="36"/>
      <c r="F16" s="50"/>
      <c r="G16" s="50"/>
      <c r="H16" s="37"/>
      <c r="I16" s="5"/>
      <c r="J16" s="1"/>
      <c r="K16" s="1"/>
      <c r="L16" s="1"/>
      <c r="M16" s="30">
        <f t="shared" si="0"/>
        <v>0</v>
      </c>
      <c r="N16" s="29">
        <f t="shared" si="1"/>
        <v>0</v>
      </c>
      <c r="O16" s="31">
        <f t="shared" si="2"/>
        <v>0</v>
      </c>
      <c r="P16" s="36"/>
      <c r="Q16" s="39"/>
      <c r="R16" s="31">
        <f t="shared" si="3"/>
        <v>0</v>
      </c>
      <c r="S16" s="44"/>
      <c r="T16" s="45"/>
      <c r="U16" s="39"/>
      <c r="V16" s="5"/>
      <c r="W16" s="1"/>
      <c r="X16" s="5"/>
      <c r="Y16" s="6"/>
      <c r="Z16" s="27" t="s">
        <v>47</v>
      </c>
      <c r="AA16" s="27" t="s">
        <v>48</v>
      </c>
      <c r="AB16" s="27" t="s">
        <v>48</v>
      </c>
      <c r="AC16" s="27" t="s">
        <v>48</v>
      </c>
      <c r="AD16" s="27" t="s">
        <v>48</v>
      </c>
      <c r="AE16" s="27" t="s">
        <v>48</v>
      </c>
      <c r="AF16" s="34"/>
      <c r="AG16" s="34"/>
      <c r="AH16" s="42"/>
      <c r="AI16" s="42"/>
      <c r="AJ16" s="42"/>
      <c r="AK16" s="42"/>
      <c r="AL16" s="28"/>
      <c r="AM16" s="27"/>
      <c r="AN16" s="27"/>
      <c r="AO16" s="27"/>
      <c r="AP16" s="27"/>
      <c r="AQ16" s="27"/>
      <c r="AR16" s="1">
        <f t="shared" si="10"/>
        <v>0</v>
      </c>
      <c r="AS16" s="1">
        <f t="shared" si="4"/>
        <v>0</v>
      </c>
      <c r="AT16" s="1">
        <f t="shared" si="5"/>
        <v>0</v>
      </c>
      <c r="AU16" s="1">
        <f t="shared" si="6"/>
        <v>0</v>
      </c>
      <c r="AV16" s="4"/>
      <c r="AW16" s="26">
        <v>1</v>
      </c>
      <c r="AX16" s="4"/>
      <c r="AY16" s="25">
        <f t="shared" si="7"/>
        <v>0</v>
      </c>
      <c r="AZ16" s="26">
        <v>0</v>
      </c>
      <c r="BA16" s="1">
        <f t="shared" si="8"/>
        <v>0</v>
      </c>
      <c r="BB16" s="1">
        <f t="shared" si="11"/>
        <v>0</v>
      </c>
      <c r="BC16" s="29">
        <f t="shared" si="12"/>
        <v>0</v>
      </c>
      <c r="BD16" s="27" t="str">
        <f t="shared" si="9"/>
        <v>Yes</v>
      </c>
    </row>
    <row r="17" spans="1:56" s="14" customFormat="1" x14ac:dyDescent="0.25">
      <c r="A17" s="27">
        <v>19</v>
      </c>
      <c r="B17" s="34"/>
      <c r="C17" s="35"/>
      <c r="D17" s="34"/>
      <c r="E17" s="36"/>
      <c r="F17" s="50"/>
      <c r="G17" s="50"/>
      <c r="H17" s="37"/>
      <c r="I17" s="5"/>
      <c r="J17" s="1"/>
      <c r="K17" s="1"/>
      <c r="L17" s="1"/>
      <c r="M17" s="30">
        <f t="shared" si="0"/>
        <v>0</v>
      </c>
      <c r="N17" s="29">
        <f t="shared" si="1"/>
        <v>0</v>
      </c>
      <c r="O17" s="31">
        <f t="shared" si="2"/>
        <v>0</v>
      </c>
      <c r="P17" s="36"/>
      <c r="Q17" s="43"/>
      <c r="R17" s="31">
        <f t="shared" si="3"/>
        <v>0</v>
      </c>
      <c r="S17" s="40"/>
      <c r="T17" s="35"/>
      <c r="U17" s="43"/>
      <c r="V17" s="5"/>
      <c r="W17" s="1"/>
      <c r="X17" s="5"/>
      <c r="Y17" s="6"/>
      <c r="Z17" s="27" t="s">
        <v>47</v>
      </c>
      <c r="AA17" s="27" t="s">
        <v>48</v>
      </c>
      <c r="AB17" s="27" t="s">
        <v>48</v>
      </c>
      <c r="AC17" s="27" t="s">
        <v>48</v>
      </c>
      <c r="AD17" s="27" t="s">
        <v>48</v>
      </c>
      <c r="AE17" s="27" t="s">
        <v>48</v>
      </c>
      <c r="AF17" s="46"/>
      <c r="AG17" s="46"/>
      <c r="AH17" s="48"/>
      <c r="AI17" s="48"/>
      <c r="AJ17" s="48"/>
      <c r="AK17" s="48"/>
      <c r="AL17" s="28"/>
      <c r="AM17" s="27"/>
      <c r="AN17" s="27"/>
      <c r="AO17" s="27"/>
      <c r="AP17" s="27"/>
      <c r="AQ17" s="27"/>
      <c r="AR17" s="1">
        <f t="shared" si="10"/>
        <v>0</v>
      </c>
      <c r="AS17" s="1">
        <f t="shared" si="4"/>
        <v>0</v>
      </c>
      <c r="AT17" s="1">
        <f t="shared" si="5"/>
        <v>0</v>
      </c>
      <c r="AU17" s="1">
        <f t="shared" si="6"/>
        <v>0</v>
      </c>
      <c r="AV17" s="4"/>
      <c r="AW17" s="26">
        <v>1</v>
      </c>
      <c r="AX17" s="4"/>
      <c r="AY17" s="25">
        <f t="shared" si="7"/>
        <v>0</v>
      </c>
      <c r="AZ17" s="26">
        <v>0</v>
      </c>
      <c r="BA17" s="1">
        <f t="shared" si="8"/>
        <v>0</v>
      </c>
      <c r="BB17" s="1">
        <f t="shared" si="11"/>
        <v>0</v>
      </c>
      <c r="BC17" s="29">
        <f t="shared" si="12"/>
        <v>0</v>
      </c>
      <c r="BD17" s="27" t="str">
        <f t="shared" si="9"/>
        <v>Yes</v>
      </c>
    </row>
    <row r="18" spans="1:56" s="14" customFormat="1" x14ac:dyDescent="0.25">
      <c r="A18" s="6">
        <v>20</v>
      </c>
      <c r="B18" s="34"/>
      <c r="C18" s="35"/>
      <c r="D18" s="34"/>
      <c r="E18" s="36"/>
      <c r="F18" s="50"/>
      <c r="G18" s="50"/>
      <c r="H18" s="37"/>
      <c r="I18" s="5"/>
      <c r="J18" s="1"/>
      <c r="K18" s="1"/>
      <c r="L18" s="1"/>
      <c r="M18" s="30">
        <f t="shared" si="0"/>
        <v>0</v>
      </c>
      <c r="N18" s="29">
        <f t="shared" si="1"/>
        <v>0</v>
      </c>
      <c r="O18" s="31">
        <f t="shared" si="2"/>
        <v>0</v>
      </c>
      <c r="P18" s="36"/>
      <c r="Q18" s="43"/>
      <c r="R18" s="31">
        <f t="shared" si="3"/>
        <v>0</v>
      </c>
      <c r="S18" s="40"/>
      <c r="T18" s="35"/>
      <c r="U18" s="43"/>
      <c r="V18" s="5"/>
      <c r="W18" s="1"/>
      <c r="X18" s="5"/>
      <c r="Y18" s="6"/>
      <c r="Z18" s="27" t="s">
        <v>47</v>
      </c>
      <c r="AA18" s="27" t="s">
        <v>48</v>
      </c>
      <c r="AB18" s="27" t="s">
        <v>48</v>
      </c>
      <c r="AC18" s="27" t="s">
        <v>48</v>
      </c>
      <c r="AD18" s="27" t="s">
        <v>48</v>
      </c>
      <c r="AE18" s="27" t="s">
        <v>48</v>
      </c>
      <c r="AF18" s="46"/>
      <c r="AG18" s="46"/>
      <c r="AH18" s="49"/>
      <c r="AI18" s="49"/>
      <c r="AJ18" s="49"/>
      <c r="AK18" s="49"/>
      <c r="AL18" s="28"/>
      <c r="AM18" s="27"/>
      <c r="AN18" s="27"/>
      <c r="AO18" s="27"/>
      <c r="AP18" s="27"/>
      <c r="AQ18" s="27"/>
      <c r="AR18" s="1">
        <f t="shared" si="10"/>
        <v>0</v>
      </c>
      <c r="AS18" s="1">
        <f t="shared" si="4"/>
        <v>0</v>
      </c>
      <c r="AT18" s="1">
        <f t="shared" si="5"/>
        <v>0</v>
      </c>
      <c r="AU18" s="1">
        <f t="shared" si="6"/>
        <v>0</v>
      </c>
      <c r="AV18" s="4"/>
      <c r="AW18" s="26">
        <v>1</v>
      </c>
      <c r="AX18" s="4"/>
      <c r="AY18" s="25">
        <f t="shared" si="7"/>
        <v>0</v>
      </c>
      <c r="AZ18" s="26">
        <v>0</v>
      </c>
      <c r="BA18" s="1">
        <f t="shared" si="8"/>
        <v>0</v>
      </c>
      <c r="BB18" s="1">
        <f t="shared" si="11"/>
        <v>0</v>
      </c>
      <c r="BC18" s="29">
        <f t="shared" si="12"/>
        <v>0</v>
      </c>
      <c r="BD18" s="27" t="str">
        <f t="shared" si="9"/>
        <v>Yes</v>
      </c>
    </row>
    <row r="19" spans="1:56" s="14" customFormat="1" x14ac:dyDescent="0.25">
      <c r="A19" s="27">
        <v>21</v>
      </c>
      <c r="B19" s="34"/>
      <c r="C19" s="35"/>
      <c r="D19" s="34"/>
      <c r="E19" s="36"/>
      <c r="F19" s="50"/>
      <c r="G19" s="50"/>
      <c r="H19" s="37"/>
      <c r="I19" s="5"/>
      <c r="J19" s="1"/>
      <c r="K19" s="1"/>
      <c r="L19" s="1"/>
      <c r="M19" s="30">
        <f t="shared" si="0"/>
        <v>0</v>
      </c>
      <c r="N19" s="29">
        <f t="shared" si="1"/>
        <v>0</v>
      </c>
      <c r="O19" s="31">
        <f t="shared" si="2"/>
        <v>0</v>
      </c>
      <c r="P19" s="36"/>
      <c r="Q19" s="43"/>
      <c r="R19" s="31">
        <f t="shared" si="3"/>
        <v>0</v>
      </c>
      <c r="S19" s="40"/>
      <c r="T19" s="35"/>
      <c r="U19" s="43"/>
      <c r="V19" s="5"/>
      <c r="W19" s="1"/>
      <c r="X19" s="5"/>
      <c r="Y19" s="6"/>
      <c r="Z19" s="27" t="s">
        <v>47</v>
      </c>
      <c r="AA19" s="27" t="s">
        <v>48</v>
      </c>
      <c r="AB19" s="27" t="s">
        <v>48</v>
      </c>
      <c r="AC19" s="27" t="s">
        <v>48</v>
      </c>
      <c r="AD19" s="27" t="s">
        <v>48</v>
      </c>
      <c r="AE19" s="27" t="s">
        <v>48</v>
      </c>
      <c r="AF19" s="46"/>
      <c r="AG19" s="46"/>
      <c r="AH19" s="49"/>
      <c r="AI19" s="49"/>
      <c r="AJ19" s="49"/>
      <c r="AK19" s="49"/>
      <c r="AL19" s="28"/>
      <c r="AM19" s="27"/>
      <c r="AN19" s="27"/>
      <c r="AO19" s="27"/>
      <c r="AP19" s="27"/>
      <c r="AQ19" s="27"/>
      <c r="AR19" s="1">
        <f t="shared" si="10"/>
        <v>0</v>
      </c>
      <c r="AS19" s="1">
        <f t="shared" si="4"/>
        <v>0</v>
      </c>
      <c r="AT19" s="1">
        <f t="shared" si="5"/>
        <v>0</v>
      </c>
      <c r="AU19" s="1">
        <f t="shared" si="6"/>
        <v>0</v>
      </c>
      <c r="AV19" s="4"/>
      <c r="AW19" s="26">
        <v>1</v>
      </c>
      <c r="AX19" s="4"/>
      <c r="AY19" s="25">
        <f t="shared" si="7"/>
        <v>0</v>
      </c>
      <c r="AZ19" s="26">
        <v>0</v>
      </c>
      <c r="BA19" s="1">
        <f t="shared" si="8"/>
        <v>0</v>
      </c>
      <c r="BB19" s="1">
        <f t="shared" si="11"/>
        <v>0</v>
      </c>
      <c r="BC19" s="29">
        <f t="shared" si="12"/>
        <v>0</v>
      </c>
      <c r="BD19" s="27" t="str">
        <f t="shared" si="9"/>
        <v>Yes</v>
      </c>
    </row>
    <row r="20" spans="1:56" s="14" customFormat="1" x14ac:dyDescent="0.25">
      <c r="A20" s="6">
        <v>22</v>
      </c>
      <c r="B20" s="34"/>
      <c r="C20" s="35"/>
      <c r="D20" s="34"/>
      <c r="E20" s="36"/>
      <c r="F20" s="50"/>
      <c r="G20" s="50"/>
      <c r="H20" s="38"/>
      <c r="I20" s="5"/>
      <c r="J20" s="1"/>
      <c r="K20" s="1"/>
      <c r="L20" s="1"/>
      <c r="M20" s="30">
        <f t="shared" si="0"/>
        <v>0</v>
      </c>
      <c r="N20" s="29">
        <f t="shared" si="1"/>
        <v>0</v>
      </c>
      <c r="O20" s="31">
        <f t="shared" si="2"/>
        <v>0</v>
      </c>
      <c r="P20" s="36"/>
      <c r="Q20" s="39"/>
      <c r="R20" s="31">
        <f t="shared" si="3"/>
        <v>0</v>
      </c>
      <c r="S20" s="40"/>
      <c r="T20" s="41"/>
      <c r="U20" s="39"/>
      <c r="V20" s="5"/>
      <c r="W20" s="1"/>
      <c r="X20" s="5"/>
      <c r="Y20" s="6"/>
      <c r="Z20" s="27" t="s">
        <v>47</v>
      </c>
      <c r="AA20" s="27" t="s">
        <v>48</v>
      </c>
      <c r="AB20" s="27" t="s">
        <v>48</v>
      </c>
      <c r="AC20" s="27" t="s">
        <v>48</v>
      </c>
      <c r="AD20" s="27" t="s">
        <v>48</v>
      </c>
      <c r="AE20" s="27" t="s">
        <v>48</v>
      </c>
      <c r="AF20" s="46"/>
      <c r="AG20" s="34"/>
      <c r="AH20" s="34"/>
      <c r="AI20" s="34"/>
      <c r="AJ20" s="34"/>
      <c r="AK20" s="34"/>
      <c r="AL20" s="28"/>
      <c r="AM20" s="27"/>
      <c r="AN20" s="27"/>
      <c r="AO20" s="27"/>
      <c r="AP20" s="27"/>
      <c r="AQ20" s="27"/>
      <c r="AR20" s="1">
        <f t="shared" si="10"/>
        <v>0</v>
      </c>
      <c r="AS20" s="1">
        <f t="shared" si="4"/>
        <v>0</v>
      </c>
      <c r="AT20" s="1">
        <f t="shared" si="5"/>
        <v>0</v>
      </c>
      <c r="AU20" s="1">
        <f t="shared" si="6"/>
        <v>0</v>
      </c>
      <c r="AV20" s="4"/>
      <c r="AW20" s="26">
        <v>1</v>
      </c>
      <c r="AX20" s="4"/>
      <c r="AY20" s="25">
        <f t="shared" si="7"/>
        <v>0</v>
      </c>
      <c r="AZ20" s="26">
        <v>0</v>
      </c>
      <c r="BA20" s="1">
        <f t="shared" si="8"/>
        <v>0</v>
      </c>
      <c r="BB20" s="1">
        <f t="shared" si="11"/>
        <v>0</v>
      </c>
      <c r="BC20" s="29">
        <f t="shared" si="12"/>
        <v>0</v>
      </c>
      <c r="BD20" s="27" t="str">
        <f t="shared" si="9"/>
        <v>Yes</v>
      </c>
    </row>
    <row r="21" spans="1:56" s="14" customFormat="1" x14ac:dyDescent="0.25">
      <c r="A21" s="27">
        <v>23</v>
      </c>
      <c r="B21" s="6"/>
      <c r="C21" s="5"/>
      <c r="D21" s="6"/>
      <c r="E21" s="6"/>
      <c r="F21" s="32"/>
      <c r="G21" s="32"/>
      <c r="H21" s="33"/>
      <c r="I21" s="5"/>
      <c r="J21" s="1"/>
      <c r="K21" s="1"/>
      <c r="L21" s="1"/>
      <c r="M21" s="30">
        <f t="shared" si="0"/>
        <v>0</v>
      </c>
      <c r="N21" s="29">
        <f t="shared" si="1"/>
        <v>0</v>
      </c>
      <c r="O21" s="31">
        <f t="shared" si="2"/>
        <v>0</v>
      </c>
      <c r="P21" s="6"/>
      <c r="Q21" s="1"/>
      <c r="R21" s="31">
        <f t="shared" si="3"/>
        <v>0</v>
      </c>
      <c r="S21" s="6"/>
      <c r="T21" s="5"/>
      <c r="U21" s="1"/>
      <c r="V21" s="5"/>
      <c r="W21" s="1"/>
      <c r="X21" s="5"/>
      <c r="Y21" s="6"/>
      <c r="Z21" s="27" t="s">
        <v>47</v>
      </c>
      <c r="AA21" s="27" t="s">
        <v>48</v>
      </c>
      <c r="AB21" s="27" t="s">
        <v>48</v>
      </c>
      <c r="AC21" s="27" t="s">
        <v>48</v>
      </c>
      <c r="AD21" s="27" t="s">
        <v>48</v>
      </c>
      <c r="AE21" s="27" t="s">
        <v>48</v>
      </c>
      <c r="AF21" s="6"/>
      <c r="AG21" s="6"/>
      <c r="AH21" s="6"/>
      <c r="AI21" s="6"/>
      <c r="AJ21" s="6"/>
      <c r="AK21" s="6"/>
      <c r="AL21" s="28"/>
      <c r="AM21" s="27"/>
      <c r="AN21" s="27"/>
      <c r="AO21" s="27"/>
      <c r="AP21" s="27"/>
      <c r="AQ21" s="27"/>
      <c r="AR21" s="1">
        <f t="shared" si="10"/>
        <v>0</v>
      </c>
      <c r="AS21" s="1">
        <f t="shared" si="4"/>
        <v>0</v>
      </c>
      <c r="AT21" s="1">
        <f t="shared" si="5"/>
        <v>0</v>
      </c>
      <c r="AU21" s="1">
        <f t="shared" si="6"/>
        <v>0</v>
      </c>
      <c r="AV21" s="4"/>
      <c r="AW21" s="26">
        <v>1</v>
      </c>
      <c r="AX21" s="4"/>
      <c r="AY21" s="25">
        <f t="shared" si="7"/>
        <v>0</v>
      </c>
      <c r="AZ21" s="26">
        <v>0</v>
      </c>
      <c r="BA21" s="1">
        <f t="shared" si="8"/>
        <v>0</v>
      </c>
      <c r="BB21" s="1">
        <f t="shared" si="11"/>
        <v>0</v>
      </c>
      <c r="BC21" s="29">
        <f t="shared" si="12"/>
        <v>0</v>
      </c>
      <c r="BD21" s="27" t="str">
        <f t="shared" si="9"/>
        <v>Yes</v>
      </c>
    </row>
    <row r="22" spans="1:56" s="14" customFormat="1" x14ac:dyDescent="0.25">
      <c r="A22" s="6">
        <v>24</v>
      </c>
      <c r="B22" s="6"/>
      <c r="C22" s="5"/>
      <c r="D22" s="6"/>
      <c r="E22" s="6"/>
      <c r="F22" s="32"/>
      <c r="G22" s="32"/>
      <c r="H22" s="33"/>
      <c r="I22" s="5"/>
      <c r="J22" s="1"/>
      <c r="K22" s="1"/>
      <c r="L22" s="1"/>
      <c r="M22" s="30">
        <f t="shared" si="0"/>
        <v>0</v>
      </c>
      <c r="N22" s="29">
        <f t="shared" si="1"/>
        <v>0</v>
      </c>
      <c r="O22" s="31">
        <f t="shared" si="2"/>
        <v>0</v>
      </c>
      <c r="P22" s="6"/>
      <c r="Q22" s="1"/>
      <c r="R22" s="31">
        <f t="shared" si="3"/>
        <v>0</v>
      </c>
      <c r="S22" s="6"/>
      <c r="T22" s="5"/>
      <c r="U22" s="1"/>
      <c r="V22" s="5"/>
      <c r="W22" s="1"/>
      <c r="X22" s="5"/>
      <c r="Y22" s="6"/>
      <c r="Z22" s="27" t="s">
        <v>47</v>
      </c>
      <c r="AA22" s="27" t="s">
        <v>48</v>
      </c>
      <c r="AB22" s="27" t="s">
        <v>48</v>
      </c>
      <c r="AC22" s="27" t="s">
        <v>48</v>
      </c>
      <c r="AD22" s="27" t="s">
        <v>48</v>
      </c>
      <c r="AE22" s="27" t="s">
        <v>48</v>
      </c>
      <c r="AF22" s="6"/>
      <c r="AG22" s="6"/>
      <c r="AH22" s="6"/>
      <c r="AI22" s="6"/>
      <c r="AJ22" s="6"/>
      <c r="AK22" s="6"/>
      <c r="AL22" s="28"/>
      <c r="AM22" s="27"/>
      <c r="AN22" s="27"/>
      <c r="AO22" s="27"/>
      <c r="AP22" s="27"/>
      <c r="AQ22" s="27"/>
      <c r="AR22" s="1">
        <f t="shared" si="10"/>
        <v>0</v>
      </c>
      <c r="AS22" s="1">
        <f t="shared" si="4"/>
        <v>0</v>
      </c>
      <c r="AT22" s="1">
        <f t="shared" si="5"/>
        <v>0</v>
      </c>
      <c r="AU22" s="1">
        <f t="shared" si="6"/>
        <v>0</v>
      </c>
      <c r="AV22" s="4"/>
      <c r="AW22" s="26">
        <v>1</v>
      </c>
      <c r="AX22" s="4"/>
      <c r="AY22" s="25">
        <f t="shared" si="7"/>
        <v>0</v>
      </c>
      <c r="AZ22" s="26">
        <v>0</v>
      </c>
      <c r="BA22" s="1">
        <f t="shared" si="8"/>
        <v>0</v>
      </c>
      <c r="BB22" s="1">
        <f t="shared" si="11"/>
        <v>0</v>
      </c>
      <c r="BC22" s="29">
        <f t="shared" si="12"/>
        <v>0</v>
      </c>
      <c r="BD22" s="27" t="str">
        <f t="shared" si="9"/>
        <v>Yes</v>
      </c>
    </row>
    <row r="23" spans="1:56" s="14" customFormat="1" x14ac:dyDescent="0.25">
      <c r="A23" s="27">
        <v>25</v>
      </c>
      <c r="B23" s="6"/>
      <c r="C23" s="5"/>
      <c r="D23" s="6"/>
      <c r="E23" s="6"/>
      <c r="F23" s="32"/>
      <c r="G23" s="32"/>
      <c r="H23" s="33"/>
      <c r="I23" s="5"/>
      <c r="J23" s="1"/>
      <c r="K23" s="1"/>
      <c r="L23" s="1"/>
      <c r="M23" s="30">
        <f t="shared" si="0"/>
        <v>0</v>
      </c>
      <c r="N23" s="29">
        <f t="shared" si="1"/>
        <v>0</v>
      </c>
      <c r="O23" s="31">
        <f t="shared" si="2"/>
        <v>0</v>
      </c>
      <c r="P23" s="6"/>
      <c r="Q23" s="1"/>
      <c r="R23" s="31">
        <f t="shared" si="3"/>
        <v>0</v>
      </c>
      <c r="S23" s="6"/>
      <c r="T23" s="5"/>
      <c r="U23" s="1"/>
      <c r="V23" s="5"/>
      <c r="W23" s="1"/>
      <c r="X23" s="5"/>
      <c r="Y23" s="6"/>
      <c r="Z23" s="27" t="s">
        <v>47</v>
      </c>
      <c r="AA23" s="27" t="s">
        <v>48</v>
      </c>
      <c r="AB23" s="27" t="s">
        <v>48</v>
      </c>
      <c r="AC23" s="27" t="s">
        <v>48</v>
      </c>
      <c r="AD23" s="27" t="s">
        <v>48</v>
      </c>
      <c r="AE23" s="27" t="s">
        <v>48</v>
      </c>
      <c r="AF23" s="6"/>
      <c r="AG23" s="6"/>
      <c r="AH23" s="6"/>
      <c r="AI23" s="6"/>
      <c r="AJ23" s="6"/>
      <c r="AK23" s="6"/>
      <c r="AL23" s="28"/>
      <c r="AM23" s="27"/>
      <c r="AN23" s="27"/>
      <c r="AO23" s="27"/>
      <c r="AP23" s="27"/>
      <c r="AQ23" s="27"/>
      <c r="AR23" s="1">
        <f t="shared" si="10"/>
        <v>0</v>
      </c>
      <c r="AS23" s="1">
        <f t="shared" si="4"/>
        <v>0</v>
      </c>
      <c r="AT23" s="1">
        <f t="shared" si="5"/>
        <v>0</v>
      </c>
      <c r="AU23" s="1">
        <f t="shared" si="6"/>
        <v>0</v>
      </c>
      <c r="AV23" s="4"/>
      <c r="AW23" s="26">
        <v>1</v>
      </c>
      <c r="AX23" s="4"/>
      <c r="AY23" s="25">
        <f t="shared" si="7"/>
        <v>0</v>
      </c>
      <c r="AZ23" s="26">
        <v>0</v>
      </c>
      <c r="BA23" s="1">
        <f t="shared" si="8"/>
        <v>0</v>
      </c>
      <c r="BB23" s="1">
        <f t="shared" si="11"/>
        <v>0</v>
      </c>
      <c r="BC23" s="29">
        <f t="shared" si="12"/>
        <v>0</v>
      </c>
      <c r="BD23" s="27" t="str">
        <f t="shared" si="9"/>
        <v>Yes</v>
      </c>
    </row>
    <row r="24" spans="1:56" s="14" customFormat="1" x14ac:dyDescent="0.25">
      <c r="A24" s="6">
        <v>26</v>
      </c>
      <c r="B24" s="6"/>
      <c r="C24" s="5"/>
      <c r="D24" s="6"/>
      <c r="E24" s="6"/>
      <c r="F24" s="32"/>
      <c r="G24" s="32"/>
      <c r="H24" s="33"/>
      <c r="I24" s="5"/>
      <c r="J24" s="1"/>
      <c r="K24" s="1"/>
      <c r="L24" s="1"/>
      <c r="M24" s="30">
        <f t="shared" si="0"/>
        <v>0</v>
      </c>
      <c r="N24" s="29">
        <f t="shared" si="1"/>
        <v>0</v>
      </c>
      <c r="O24" s="31">
        <f t="shared" si="2"/>
        <v>0</v>
      </c>
      <c r="P24" s="6"/>
      <c r="Q24" s="1"/>
      <c r="R24" s="31">
        <f t="shared" si="3"/>
        <v>0</v>
      </c>
      <c r="S24" s="6"/>
      <c r="T24" s="5"/>
      <c r="U24" s="1"/>
      <c r="V24" s="5"/>
      <c r="W24" s="1"/>
      <c r="X24" s="5"/>
      <c r="Y24" s="6"/>
      <c r="Z24" s="27" t="s">
        <v>47</v>
      </c>
      <c r="AA24" s="27" t="s">
        <v>48</v>
      </c>
      <c r="AB24" s="27" t="s">
        <v>48</v>
      </c>
      <c r="AC24" s="27" t="s">
        <v>48</v>
      </c>
      <c r="AD24" s="27" t="s">
        <v>48</v>
      </c>
      <c r="AE24" s="27" t="s">
        <v>48</v>
      </c>
      <c r="AF24" s="6"/>
      <c r="AG24" s="6"/>
      <c r="AH24" s="6"/>
      <c r="AI24" s="6"/>
      <c r="AJ24" s="6"/>
      <c r="AK24" s="6"/>
      <c r="AL24" s="28"/>
      <c r="AM24" s="27"/>
      <c r="AN24" s="27"/>
      <c r="AO24" s="27"/>
      <c r="AP24" s="27"/>
      <c r="AQ24" s="27"/>
      <c r="AR24" s="1">
        <f t="shared" si="10"/>
        <v>0</v>
      </c>
      <c r="AS24" s="1">
        <f t="shared" si="4"/>
        <v>0</v>
      </c>
      <c r="AT24" s="1">
        <f t="shared" si="5"/>
        <v>0</v>
      </c>
      <c r="AU24" s="1">
        <f t="shared" si="6"/>
        <v>0</v>
      </c>
      <c r="AV24" s="4"/>
      <c r="AW24" s="26">
        <v>1</v>
      </c>
      <c r="AX24" s="4"/>
      <c r="AY24" s="25">
        <f t="shared" si="7"/>
        <v>0</v>
      </c>
      <c r="AZ24" s="26">
        <v>0</v>
      </c>
      <c r="BA24" s="1">
        <f t="shared" si="8"/>
        <v>0</v>
      </c>
      <c r="BB24" s="1">
        <f t="shared" si="11"/>
        <v>0</v>
      </c>
      <c r="BC24" s="29">
        <f t="shared" si="12"/>
        <v>0</v>
      </c>
      <c r="BD24" s="27" t="str">
        <f t="shared" si="9"/>
        <v>Yes</v>
      </c>
    </row>
    <row r="25" spans="1:56" s="14" customFormat="1" x14ac:dyDescent="0.25">
      <c r="A25" s="27">
        <v>27</v>
      </c>
      <c r="B25" s="6"/>
      <c r="C25" s="5"/>
      <c r="D25" s="6"/>
      <c r="E25" s="6"/>
      <c r="F25" s="32"/>
      <c r="G25" s="32"/>
      <c r="H25" s="33"/>
      <c r="I25" s="5"/>
      <c r="J25" s="1"/>
      <c r="K25" s="1"/>
      <c r="L25" s="1"/>
      <c r="M25" s="30">
        <f t="shared" si="0"/>
        <v>0</v>
      </c>
      <c r="N25" s="29">
        <f t="shared" si="1"/>
        <v>0</v>
      </c>
      <c r="O25" s="31">
        <f t="shared" si="2"/>
        <v>0</v>
      </c>
      <c r="P25" s="6"/>
      <c r="Q25" s="1"/>
      <c r="R25" s="31">
        <f t="shared" si="3"/>
        <v>0</v>
      </c>
      <c r="S25" s="6"/>
      <c r="T25" s="5"/>
      <c r="U25" s="1"/>
      <c r="V25" s="5"/>
      <c r="W25" s="1"/>
      <c r="X25" s="5"/>
      <c r="Y25" s="6"/>
      <c r="Z25" s="27" t="s">
        <v>47</v>
      </c>
      <c r="AA25" s="27" t="s">
        <v>48</v>
      </c>
      <c r="AB25" s="27" t="s">
        <v>48</v>
      </c>
      <c r="AC25" s="27" t="s">
        <v>48</v>
      </c>
      <c r="AD25" s="27" t="s">
        <v>48</v>
      </c>
      <c r="AE25" s="27" t="s">
        <v>48</v>
      </c>
      <c r="AF25" s="6"/>
      <c r="AG25" s="6"/>
      <c r="AH25" s="6"/>
      <c r="AI25" s="6"/>
      <c r="AJ25" s="6"/>
      <c r="AK25" s="6"/>
      <c r="AL25" s="28"/>
      <c r="AM25" s="27"/>
      <c r="AN25" s="27"/>
      <c r="AO25" s="27"/>
      <c r="AP25" s="27"/>
      <c r="AQ25" s="27"/>
      <c r="AR25" s="1">
        <f t="shared" si="10"/>
        <v>0</v>
      </c>
      <c r="AS25" s="1">
        <f t="shared" si="4"/>
        <v>0</v>
      </c>
      <c r="AT25" s="1">
        <f t="shared" si="5"/>
        <v>0</v>
      </c>
      <c r="AU25" s="1">
        <f t="shared" si="6"/>
        <v>0</v>
      </c>
      <c r="AV25" s="4"/>
      <c r="AW25" s="26">
        <v>1</v>
      </c>
      <c r="AX25" s="4"/>
      <c r="AY25" s="25">
        <f t="shared" si="7"/>
        <v>0</v>
      </c>
      <c r="AZ25" s="26">
        <v>0</v>
      </c>
      <c r="BA25" s="1">
        <f t="shared" si="8"/>
        <v>0</v>
      </c>
      <c r="BB25" s="1">
        <f t="shared" si="11"/>
        <v>0</v>
      </c>
      <c r="BC25" s="29">
        <f t="shared" si="12"/>
        <v>0</v>
      </c>
      <c r="BD25" s="27" t="str">
        <f t="shared" si="9"/>
        <v>Yes</v>
      </c>
    </row>
    <row r="26" spans="1:56" s="14" customFormat="1" x14ac:dyDescent="0.25">
      <c r="A26" s="6">
        <v>28</v>
      </c>
      <c r="B26" s="6"/>
      <c r="C26" s="5"/>
      <c r="D26" s="6"/>
      <c r="E26" s="6"/>
      <c r="F26" s="32"/>
      <c r="G26" s="32"/>
      <c r="H26" s="33"/>
      <c r="I26" s="5"/>
      <c r="J26" s="1"/>
      <c r="K26" s="1"/>
      <c r="L26" s="1"/>
      <c r="M26" s="30">
        <f t="shared" si="0"/>
        <v>0</v>
      </c>
      <c r="N26" s="29">
        <f t="shared" si="1"/>
        <v>0</v>
      </c>
      <c r="O26" s="31">
        <f t="shared" si="2"/>
        <v>0</v>
      </c>
      <c r="P26" s="6"/>
      <c r="Q26" s="1"/>
      <c r="R26" s="31">
        <f t="shared" si="3"/>
        <v>0</v>
      </c>
      <c r="S26" s="6"/>
      <c r="T26" s="5"/>
      <c r="U26" s="1"/>
      <c r="V26" s="5"/>
      <c r="W26" s="1"/>
      <c r="X26" s="5"/>
      <c r="Y26" s="6"/>
      <c r="Z26" s="27" t="s">
        <v>47</v>
      </c>
      <c r="AA26" s="27" t="s">
        <v>48</v>
      </c>
      <c r="AB26" s="27" t="s">
        <v>48</v>
      </c>
      <c r="AC26" s="27" t="s">
        <v>48</v>
      </c>
      <c r="AD26" s="27" t="s">
        <v>48</v>
      </c>
      <c r="AE26" s="27" t="s">
        <v>48</v>
      </c>
      <c r="AF26" s="6"/>
      <c r="AG26" s="6"/>
      <c r="AH26" s="6"/>
      <c r="AI26" s="6"/>
      <c r="AJ26" s="6"/>
      <c r="AK26" s="6"/>
      <c r="AL26" s="28"/>
      <c r="AM26" s="27"/>
      <c r="AN26" s="27"/>
      <c r="AO26" s="27"/>
      <c r="AP26" s="27"/>
      <c r="AQ26" s="27"/>
      <c r="AR26" s="1">
        <f t="shared" si="10"/>
        <v>0</v>
      </c>
      <c r="AS26" s="1">
        <f t="shared" si="4"/>
        <v>0</v>
      </c>
      <c r="AT26" s="1">
        <f t="shared" si="5"/>
        <v>0</v>
      </c>
      <c r="AU26" s="1">
        <f t="shared" si="6"/>
        <v>0</v>
      </c>
      <c r="AV26" s="4"/>
      <c r="AW26" s="26">
        <v>1</v>
      </c>
      <c r="AX26" s="4"/>
      <c r="AY26" s="25">
        <f t="shared" si="7"/>
        <v>0</v>
      </c>
      <c r="AZ26" s="26">
        <v>0</v>
      </c>
      <c r="BA26" s="1">
        <f t="shared" si="8"/>
        <v>0</v>
      </c>
      <c r="BB26" s="1">
        <f t="shared" si="11"/>
        <v>0</v>
      </c>
      <c r="BC26" s="29">
        <f t="shared" si="12"/>
        <v>0</v>
      </c>
      <c r="BD26" s="27" t="str">
        <f t="shared" si="9"/>
        <v>Yes</v>
      </c>
    </row>
    <row r="27" spans="1:56" s="14" customFormat="1" x14ac:dyDescent="0.25">
      <c r="A27" s="27">
        <v>29</v>
      </c>
      <c r="B27" s="6"/>
      <c r="C27" s="5"/>
      <c r="D27" s="6"/>
      <c r="E27" s="6"/>
      <c r="F27" s="32"/>
      <c r="G27" s="32"/>
      <c r="H27" s="33"/>
      <c r="I27" s="5"/>
      <c r="J27" s="1"/>
      <c r="K27" s="1"/>
      <c r="L27" s="1"/>
      <c r="M27" s="30">
        <f t="shared" si="0"/>
        <v>0</v>
      </c>
      <c r="N27" s="29">
        <f t="shared" si="1"/>
        <v>0</v>
      </c>
      <c r="O27" s="31">
        <f t="shared" si="2"/>
        <v>0</v>
      </c>
      <c r="P27" s="6"/>
      <c r="Q27" s="1"/>
      <c r="R27" s="31">
        <f t="shared" si="3"/>
        <v>0</v>
      </c>
      <c r="S27" s="6"/>
      <c r="T27" s="5"/>
      <c r="U27" s="1"/>
      <c r="V27" s="5"/>
      <c r="W27" s="1"/>
      <c r="X27" s="5"/>
      <c r="Y27" s="6"/>
      <c r="Z27" s="27" t="s">
        <v>47</v>
      </c>
      <c r="AA27" s="27" t="s">
        <v>48</v>
      </c>
      <c r="AB27" s="27" t="s">
        <v>48</v>
      </c>
      <c r="AC27" s="27" t="s">
        <v>48</v>
      </c>
      <c r="AD27" s="27" t="s">
        <v>48</v>
      </c>
      <c r="AE27" s="27" t="s">
        <v>48</v>
      </c>
      <c r="AF27" s="6"/>
      <c r="AG27" s="6"/>
      <c r="AH27" s="6"/>
      <c r="AI27" s="6"/>
      <c r="AJ27" s="6"/>
      <c r="AK27" s="6"/>
      <c r="AL27" s="28"/>
      <c r="AM27" s="27"/>
      <c r="AN27" s="27"/>
      <c r="AO27" s="27"/>
      <c r="AP27" s="27"/>
      <c r="AQ27" s="27"/>
      <c r="AR27" s="1">
        <f t="shared" si="10"/>
        <v>0</v>
      </c>
      <c r="AS27" s="1">
        <f t="shared" si="4"/>
        <v>0</v>
      </c>
      <c r="AT27" s="1">
        <f t="shared" si="5"/>
        <v>0</v>
      </c>
      <c r="AU27" s="1">
        <f t="shared" si="6"/>
        <v>0</v>
      </c>
      <c r="AV27" s="4"/>
      <c r="AW27" s="26">
        <v>1</v>
      </c>
      <c r="AX27" s="4"/>
      <c r="AY27" s="25">
        <f t="shared" si="7"/>
        <v>0</v>
      </c>
      <c r="AZ27" s="26">
        <v>0</v>
      </c>
      <c r="BA27" s="1">
        <f t="shared" si="8"/>
        <v>0</v>
      </c>
      <c r="BB27" s="1">
        <f t="shared" si="11"/>
        <v>0</v>
      </c>
      <c r="BC27" s="29">
        <f t="shared" si="12"/>
        <v>0</v>
      </c>
      <c r="BD27" s="27" t="str">
        <f t="shared" si="9"/>
        <v>Yes</v>
      </c>
    </row>
    <row r="28" spans="1:56" s="14" customFormat="1" x14ac:dyDescent="0.25">
      <c r="A28" s="6">
        <v>30</v>
      </c>
      <c r="B28" s="6"/>
      <c r="C28" s="5"/>
      <c r="D28" s="6"/>
      <c r="E28" s="6"/>
      <c r="F28" s="32"/>
      <c r="G28" s="32"/>
      <c r="H28" s="33"/>
      <c r="I28" s="5"/>
      <c r="J28" s="1"/>
      <c r="K28" s="1"/>
      <c r="L28" s="1"/>
      <c r="M28" s="30">
        <f t="shared" si="0"/>
        <v>0</v>
      </c>
      <c r="N28" s="29">
        <f t="shared" si="1"/>
        <v>0</v>
      </c>
      <c r="O28" s="31">
        <f t="shared" si="2"/>
        <v>0</v>
      </c>
      <c r="P28" s="6"/>
      <c r="Q28" s="1"/>
      <c r="R28" s="31">
        <f t="shared" si="3"/>
        <v>0</v>
      </c>
      <c r="S28" s="6"/>
      <c r="T28" s="5"/>
      <c r="U28" s="1"/>
      <c r="V28" s="5"/>
      <c r="W28" s="1"/>
      <c r="X28" s="5"/>
      <c r="Y28" s="6"/>
      <c r="Z28" s="27" t="s">
        <v>47</v>
      </c>
      <c r="AA28" s="27" t="s">
        <v>48</v>
      </c>
      <c r="AB28" s="27" t="s">
        <v>48</v>
      </c>
      <c r="AC28" s="27" t="s">
        <v>48</v>
      </c>
      <c r="AD28" s="27" t="s">
        <v>48</v>
      </c>
      <c r="AE28" s="27" t="s">
        <v>48</v>
      </c>
      <c r="AF28" s="6"/>
      <c r="AG28" s="6"/>
      <c r="AH28" s="6"/>
      <c r="AI28" s="6"/>
      <c r="AJ28" s="6"/>
      <c r="AK28" s="6"/>
      <c r="AL28" s="28"/>
      <c r="AM28" s="27"/>
      <c r="AN28" s="27"/>
      <c r="AO28" s="27"/>
      <c r="AP28" s="27"/>
      <c r="AQ28" s="27"/>
      <c r="AR28" s="1">
        <f t="shared" si="10"/>
        <v>0</v>
      </c>
      <c r="AS28" s="1">
        <f t="shared" si="4"/>
        <v>0</v>
      </c>
      <c r="AT28" s="1">
        <f t="shared" si="5"/>
        <v>0</v>
      </c>
      <c r="AU28" s="1">
        <f t="shared" si="6"/>
        <v>0</v>
      </c>
      <c r="AV28" s="4"/>
      <c r="AW28" s="26">
        <v>1</v>
      </c>
      <c r="AX28" s="4"/>
      <c r="AY28" s="25">
        <f t="shared" si="7"/>
        <v>0</v>
      </c>
      <c r="AZ28" s="26">
        <v>0</v>
      </c>
      <c r="BA28" s="1">
        <f t="shared" si="8"/>
        <v>0</v>
      </c>
      <c r="BB28" s="1">
        <f t="shared" si="11"/>
        <v>0</v>
      </c>
      <c r="BC28" s="29">
        <f t="shared" si="12"/>
        <v>0</v>
      </c>
      <c r="BD28" s="27" t="str">
        <f t="shared" si="9"/>
        <v>Yes</v>
      </c>
    </row>
    <row r="29" spans="1:56" s="14" customFormat="1" x14ac:dyDescent="0.25">
      <c r="A29" s="27">
        <v>31</v>
      </c>
      <c r="B29" s="6"/>
      <c r="C29" s="5"/>
      <c r="D29" s="6"/>
      <c r="E29" s="6"/>
      <c r="F29" s="32"/>
      <c r="G29" s="32"/>
      <c r="H29" s="33"/>
      <c r="I29" s="5"/>
      <c r="J29" s="1"/>
      <c r="K29" s="1"/>
      <c r="L29" s="1"/>
      <c r="M29" s="30">
        <f t="shared" si="0"/>
        <v>0</v>
      </c>
      <c r="N29" s="29">
        <f t="shared" si="1"/>
        <v>0</v>
      </c>
      <c r="O29" s="31">
        <f t="shared" si="2"/>
        <v>0</v>
      </c>
      <c r="P29" s="6"/>
      <c r="Q29" s="1"/>
      <c r="R29" s="31">
        <f t="shared" si="3"/>
        <v>0</v>
      </c>
      <c r="S29" s="6"/>
      <c r="T29" s="5"/>
      <c r="U29" s="1"/>
      <c r="V29" s="5"/>
      <c r="W29" s="1"/>
      <c r="X29" s="5"/>
      <c r="Y29" s="6"/>
      <c r="Z29" s="27" t="s">
        <v>47</v>
      </c>
      <c r="AA29" s="27" t="s">
        <v>48</v>
      </c>
      <c r="AB29" s="27" t="s">
        <v>48</v>
      </c>
      <c r="AC29" s="27" t="s">
        <v>48</v>
      </c>
      <c r="AD29" s="27" t="s">
        <v>48</v>
      </c>
      <c r="AE29" s="27" t="s">
        <v>48</v>
      </c>
      <c r="AF29" s="6"/>
      <c r="AG29" s="6"/>
      <c r="AH29" s="6"/>
      <c r="AI29" s="6"/>
      <c r="AJ29" s="6"/>
      <c r="AK29" s="6"/>
      <c r="AL29" s="28"/>
      <c r="AM29" s="27"/>
      <c r="AN29" s="27"/>
      <c r="AO29" s="27"/>
      <c r="AP29" s="27"/>
      <c r="AQ29" s="27"/>
      <c r="AR29" s="1">
        <f t="shared" si="10"/>
        <v>0</v>
      </c>
      <c r="AS29" s="1">
        <f t="shared" si="4"/>
        <v>0</v>
      </c>
      <c r="AT29" s="1">
        <f t="shared" si="5"/>
        <v>0</v>
      </c>
      <c r="AU29" s="1">
        <f t="shared" si="6"/>
        <v>0</v>
      </c>
      <c r="AV29" s="4"/>
      <c r="AW29" s="26">
        <v>1</v>
      </c>
      <c r="AX29" s="4"/>
      <c r="AY29" s="25">
        <f t="shared" si="7"/>
        <v>0</v>
      </c>
      <c r="AZ29" s="26">
        <v>0</v>
      </c>
      <c r="BA29" s="1">
        <f t="shared" si="8"/>
        <v>0</v>
      </c>
      <c r="BB29" s="1">
        <f t="shared" si="11"/>
        <v>0</v>
      </c>
      <c r="BC29" s="29">
        <f t="shared" si="12"/>
        <v>0</v>
      </c>
      <c r="BD29" s="27" t="str">
        <f t="shared" si="9"/>
        <v>Yes</v>
      </c>
    </row>
    <row r="30" spans="1:56" s="14" customFormat="1" x14ac:dyDescent="0.25">
      <c r="A30" s="6">
        <v>32</v>
      </c>
      <c r="B30" s="6"/>
      <c r="C30" s="5"/>
      <c r="D30" s="6"/>
      <c r="E30" s="6"/>
      <c r="F30" s="32"/>
      <c r="G30" s="32"/>
      <c r="H30" s="33"/>
      <c r="I30" s="5"/>
      <c r="J30" s="1"/>
      <c r="K30" s="1"/>
      <c r="L30" s="1"/>
      <c r="M30" s="30">
        <f t="shared" si="0"/>
        <v>0</v>
      </c>
      <c r="N30" s="29">
        <f t="shared" si="1"/>
        <v>0</v>
      </c>
      <c r="O30" s="31">
        <f t="shared" si="2"/>
        <v>0</v>
      </c>
      <c r="P30" s="6"/>
      <c r="Q30" s="1"/>
      <c r="R30" s="31">
        <f t="shared" si="3"/>
        <v>0</v>
      </c>
      <c r="S30" s="6"/>
      <c r="T30" s="5"/>
      <c r="U30" s="1"/>
      <c r="V30" s="5"/>
      <c r="W30" s="1"/>
      <c r="X30" s="5"/>
      <c r="Y30" s="6"/>
      <c r="Z30" s="27" t="s">
        <v>47</v>
      </c>
      <c r="AA30" s="27" t="s">
        <v>48</v>
      </c>
      <c r="AB30" s="27" t="s">
        <v>48</v>
      </c>
      <c r="AC30" s="27" t="s">
        <v>48</v>
      </c>
      <c r="AD30" s="27" t="s">
        <v>48</v>
      </c>
      <c r="AE30" s="27" t="s">
        <v>48</v>
      </c>
      <c r="AF30" s="6"/>
      <c r="AG30" s="6"/>
      <c r="AH30" s="6"/>
      <c r="AI30" s="6"/>
      <c r="AJ30" s="6"/>
      <c r="AK30" s="6"/>
      <c r="AL30" s="28"/>
      <c r="AM30" s="27"/>
      <c r="AN30" s="27"/>
      <c r="AO30" s="27"/>
      <c r="AP30" s="27"/>
      <c r="AQ30" s="27"/>
      <c r="AR30" s="1">
        <f t="shared" si="10"/>
        <v>0</v>
      </c>
      <c r="AS30" s="1">
        <f t="shared" si="4"/>
        <v>0</v>
      </c>
      <c r="AT30" s="1">
        <f t="shared" si="5"/>
        <v>0</v>
      </c>
      <c r="AU30" s="1">
        <f t="shared" si="6"/>
        <v>0</v>
      </c>
      <c r="AV30" s="4"/>
      <c r="AW30" s="26">
        <v>1</v>
      </c>
      <c r="AX30" s="4"/>
      <c r="AY30" s="25">
        <f t="shared" si="7"/>
        <v>0</v>
      </c>
      <c r="AZ30" s="26">
        <v>0</v>
      </c>
      <c r="BA30" s="1">
        <f t="shared" si="8"/>
        <v>0</v>
      </c>
      <c r="BB30" s="1">
        <f t="shared" si="11"/>
        <v>0</v>
      </c>
      <c r="BC30" s="29">
        <f t="shared" si="12"/>
        <v>0</v>
      </c>
      <c r="BD30" s="27" t="str">
        <f t="shared" si="9"/>
        <v>Yes</v>
      </c>
    </row>
    <row r="31" spans="1:56" s="14" customFormat="1" x14ac:dyDescent="0.25">
      <c r="A31" s="27">
        <v>33</v>
      </c>
      <c r="B31" s="6"/>
      <c r="C31" s="5"/>
      <c r="D31" s="6"/>
      <c r="E31" s="6"/>
      <c r="F31" s="32"/>
      <c r="G31" s="32"/>
      <c r="H31" s="33"/>
      <c r="I31" s="5"/>
      <c r="J31" s="1"/>
      <c r="K31" s="1"/>
      <c r="L31" s="1"/>
      <c r="M31" s="30">
        <f t="shared" si="0"/>
        <v>0</v>
      </c>
      <c r="N31" s="29">
        <f t="shared" si="1"/>
        <v>0</v>
      </c>
      <c r="O31" s="31">
        <f t="shared" si="2"/>
        <v>0</v>
      </c>
      <c r="P31" s="6"/>
      <c r="Q31" s="1"/>
      <c r="R31" s="31">
        <f t="shared" si="3"/>
        <v>0</v>
      </c>
      <c r="S31" s="6"/>
      <c r="T31" s="5"/>
      <c r="U31" s="1"/>
      <c r="V31" s="5"/>
      <c r="W31" s="1"/>
      <c r="X31" s="5"/>
      <c r="Y31" s="6"/>
      <c r="Z31" s="27" t="s">
        <v>47</v>
      </c>
      <c r="AA31" s="27" t="s">
        <v>48</v>
      </c>
      <c r="AB31" s="27" t="s">
        <v>48</v>
      </c>
      <c r="AC31" s="27" t="s">
        <v>48</v>
      </c>
      <c r="AD31" s="27" t="s">
        <v>48</v>
      </c>
      <c r="AE31" s="27" t="s">
        <v>48</v>
      </c>
      <c r="AF31" s="6"/>
      <c r="AG31" s="6"/>
      <c r="AH31" s="6"/>
      <c r="AI31" s="6"/>
      <c r="AJ31" s="6"/>
      <c r="AK31" s="6"/>
      <c r="AL31" s="28"/>
      <c r="AM31" s="27"/>
      <c r="AN31" s="27"/>
      <c r="AO31" s="27"/>
      <c r="AP31" s="27"/>
      <c r="AQ31" s="27"/>
      <c r="AR31" s="1">
        <f t="shared" si="10"/>
        <v>0</v>
      </c>
      <c r="AS31" s="1">
        <f t="shared" si="4"/>
        <v>0</v>
      </c>
      <c r="AT31" s="1">
        <f t="shared" si="5"/>
        <v>0</v>
      </c>
      <c r="AU31" s="1">
        <f t="shared" si="6"/>
        <v>0</v>
      </c>
      <c r="AV31" s="4"/>
      <c r="AW31" s="26">
        <v>1</v>
      </c>
      <c r="AX31" s="4"/>
      <c r="AY31" s="25">
        <f t="shared" si="7"/>
        <v>0</v>
      </c>
      <c r="AZ31" s="26">
        <v>0</v>
      </c>
      <c r="BA31" s="1">
        <f t="shared" si="8"/>
        <v>0</v>
      </c>
      <c r="BB31" s="1">
        <f t="shared" si="11"/>
        <v>0</v>
      </c>
      <c r="BC31" s="29">
        <f t="shared" si="12"/>
        <v>0</v>
      </c>
      <c r="BD31" s="27" t="str">
        <f t="shared" si="9"/>
        <v>Yes</v>
      </c>
    </row>
    <row r="32" spans="1:56" s="14" customFormat="1" x14ac:dyDescent="0.25">
      <c r="A32" s="6">
        <v>34</v>
      </c>
      <c r="B32" s="6"/>
      <c r="C32" s="5"/>
      <c r="D32" s="6"/>
      <c r="E32" s="6"/>
      <c r="F32" s="32"/>
      <c r="G32" s="32"/>
      <c r="H32" s="33"/>
      <c r="I32" s="5"/>
      <c r="J32" s="1"/>
      <c r="K32" s="1"/>
      <c r="L32" s="1"/>
      <c r="M32" s="30">
        <f t="shared" si="0"/>
        <v>0</v>
      </c>
      <c r="N32" s="29">
        <f t="shared" si="1"/>
        <v>0</v>
      </c>
      <c r="O32" s="31">
        <f t="shared" si="2"/>
        <v>0</v>
      </c>
      <c r="P32" s="6"/>
      <c r="Q32" s="1"/>
      <c r="R32" s="31">
        <f t="shared" si="3"/>
        <v>0</v>
      </c>
      <c r="S32" s="6"/>
      <c r="T32" s="5"/>
      <c r="U32" s="1"/>
      <c r="V32" s="5"/>
      <c r="W32" s="1"/>
      <c r="X32" s="5"/>
      <c r="Y32" s="6"/>
      <c r="Z32" s="27" t="s">
        <v>47</v>
      </c>
      <c r="AA32" s="27" t="s">
        <v>48</v>
      </c>
      <c r="AB32" s="27" t="s">
        <v>48</v>
      </c>
      <c r="AC32" s="27" t="s">
        <v>48</v>
      </c>
      <c r="AD32" s="27" t="s">
        <v>48</v>
      </c>
      <c r="AE32" s="27" t="s">
        <v>48</v>
      </c>
      <c r="AF32" s="6"/>
      <c r="AG32" s="6"/>
      <c r="AH32" s="6"/>
      <c r="AI32" s="6"/>
      <c r="AJ32" s="6"/>
      <c r="AK32" s="6"/>
      <c r="AL32" s="28"/>
      <c r="AM32" s="27"/>
      <c r="AN32" s="27"/>
      <c r="AO32" s="27"/>
      <c r="AP32" s="27"/>
      <c r="AQ32" s="27"/>
      <c r="AR32" s="1">
        <f t="shared" si="10"/>
        <v>0</v>
      </c>
      <c r="AS32" s="1">
        <f t="shared" si="4"/>
        <v>0</v>
      </c>
      <c r="AT32" s="1">
        <f t="shared" si="5"/>
        <v>0</v>
      </c>
      <c r="AU32" s="1">
        <f t="shared" si="6"/>
        <v>0</v>
      </c>
      <c r="AV32" s="4"/>
      <c r="AW32" s="26">
        <v>1</v>
      </c>
      <c r="AX32" s="4"/>
      <c r="AY32" s="25">
        <f t="shared" si="7"/>
        <v>0</v>
      </c>
      <c r="AZ32" s="26">
        <v>0</v>
      </c>
      <c r="BA32" s="1">
        <f t="shared" si="8"/>
        <v>0</v>
      </c>
      <c r="BB32" s="1">
        <f t="shared" si="11"/>
        <v>0</v>
      </c>
      <c r="BC32" s="29">
        <f t="shared" si="12"/>
        <v>0</v>
      </c>
      <c r="BD32" s="27" t="str">
        <f t="shared" si="9"/>
        <v>Yes</v>
      </c>
    </row>
    <row r="33" spans="1:56" s="14" customFormat="1" x14ac:dyDescent="0.25">
      <c r="A33" s="27">
        <v>35</v>
      </c>
      <c r="B33" s="6"/>
      <c r="C33" s="5"/>
      <c r="D33" s="6"/>
      <c r="E33" s="6"/>
      <c r="F33" s="32"/>
      <c r="G33" s="32"/>
      <c r="H33" s="33"/>
      <c r="I33" s="5"/>
      <c r="J33" s="1"/>
      <c r="K33" s="1"/>
      <c r="L33" s="1"/>
      <c r="M33" s="30">
        <f t="shared" si="0"/>
        <v>0</v>
      </c>
      <c r="N33" s="29">
        <f t="shared" si="1"/>
        <v>0</v>
      </c>
      <c r="O33" s="31">
        <f t="shared" si="2"/>
        <v>0</v>
      </c>
      <c r="P33" s="6"/>
      <c r="Q33" s="1"/>
      <c r="R33" s="31">
        <f t="shared" si="3"/>
        <v>0</v>
      </c>
      <c r="S33" s="6"/>
      <c r="T33" s="5"/>
      <c r="U33" s="1"/>
      <c r="V33" s="5"/>
      <c r="W33" s="1"/>
      <c r="X33" s="5"/>
      <c r="Y33" s="6"/>
      <c r="Z33" s="27" t="s">
        <v>47</v>
      </c>
      <c r="AA33" s="27" t="s">
        <v>48</v>
      </c>
      <c r="AB33" s="27" t="s">
        <v>48</v>
      </c>
      <c r="AC33" s="27" t="s">
        <v>48</v>
      </c>
      <c r="AD33" s="27" t="s">
        <v>48</v>
      </c>
      <c r="AE33" s="27" t="s">
        <v>48</v>
      </c>
      <c r="AF33" s="6"/>
      <c r="AG33" s="6"/>
      <c r="AH33" s="6"/>
      <c r="AI33" s="6"/>
      <c r="AJ33" s="6"/>
      <c r="AK33" s="6"/>
      <c r="AL33" s="28"/>
      <c r="AM33" s="27"/>
      <c r="AN33" s="27"/>
      <c r="AO33" s="27"/>
      <c r="AP33" s="27"/>
      <c r="AQ33" s="27"/>
      <c r="AR33" s="1">
        <f t="shared" si="10"/>
        <v>0</v>
      </c>
      <c r="AS33" s="1">
        <f t="shared" si="4"/>
        <v>0</v>
      </c>
      <c r="AT33" s="1">
        <f t="shared" si="5"/>
        <v>0</v>
      </c>
      <c r="AU33" s="1">
        <f t="shared" si="6"/>
        <v>0</v>
      </c>
      <c r="AV33" s="4"/>
      <c r="AW33" s="26">
        <v>1</v>
      </c>
      <c r="AX33" s="4"/>
      <c r="AY33" s="25">
        <f t="shared" si="7"/>
        <v>0</v>
      </c>
      <c r="AZ33" s="26">
        <v>0</v>
      </c>
      <c r="BA33" s="1">
        <f t="shared" si="8"/>
        <v>0</v>
      </c>
      <c r="BB33" s="1">
        <f t="shared" si="11"/>
        <v>0</v>
      </c>
      <c r="BC33" s="29">
        <f t="shared" si="12"/>
        <v>0</v>
      </c>
      <c r="BD33" s="27" t="str">
        <f t="shared" si="9"/>
        <v>Yes</v>
      </c>
    </row>
    <row r="34" spans="1:56" s="14" customFormat="1" x14ac:dyDescent="0.25">
      <c r="A34" s="6">
        <v>36</v>
      </c>
      <c r="B34" s="6"/>
      <c r="C34" s="5"/>
      <c r="D34" s="6"/>
      <c r="E34" s="6"/>
      <c r="F34" s="32"/>
      <c r="G34" s="32"/>
      <c r="H34" s="33"/>
      <c r="I34" s="5"/>
      <c r="J34" s="1"/>
      <c r="K34" s="1"/>
      <c r="L34" s="1"/>
      <c r="M34" s="30">
        <f t="shared" si="0"/>
        <v>0</v>
      </c>
      <c r="N34" s="29">
        <f t="shared" si="1"/>
        <v>0</v>
      </c>
      <c r="O34" s="31">
        <f t="shared" si="2"/>
        <v>0</v>
      </c>
      <c r="P34" s="6"/>
      <c r="Q34" s="1"/>
      <c r="R34" s="31">
        <f t="shared" si="3"/>
        <v>0</v>
      </c>
      <c r="S34" s="6"/>
      <c r="T34" s="5"/>
      <c r="U34" s="1"/>
      <c r="V34" s="5"/>
      <c r="W34" s="1"/>
      <c r="X34" s="5"/>
      <c r="Y34" s="6"/>
      <c r="Z34" s="27" t="s">
        <v>47</v>
      </c>
      <c r="AA34" s="27" t="s">
        <v>48</v>
      </c>
      <c r="AB34" s="27" t="s">
        <v>48</v>
      </c>
      <c r="AC34" s="27" t="s">
        <v>48</v>
      </c>
      <c r="AD34" s="27" t="s">
        <v>48</v>
      </c>
      <c r="AE34" s="27" t="s">
        <v>48</v>
      </c>
      <c r="AF34" s="6"/>
      <c r="AG34" s="6"/>
      <c r="AH34" s="6"/>
      <c r="AI34" s="6"/>
      <c r="AJ34" s="6"/>
      <c r="AK34" s="6"/>
      <c r="AL34" s="28"/>
      <c r="AM34" s="27"/>
      <c r="AN34" s="27"/>
      <c r="AO34" s="27"/>
      <c r="AP34" s="27"/>
      <c r="AQ34" s="27"/>
      <c r="AR34" s="1">
        <f t="shared" si="10"/>
        <v>0</v>
      </c>
      <c r="AS34" s="1">
        <f t="shared" si="4"/>
        <v>0</v>
      </c>
      <c r="AT34" s="1">
        <f t="shared" si="5"/>
        <v>0</v>
      </c>
      <c r="AU34" s="1">
        <f t="shared" si="6"/>
        <v>0</v>
      </c>
      <c r="AV34" s="4"/>
      <c r="AW34" s="26">
        <v>1</v>
      </c>
      <c r="AX34" s="4"/>
      <c r="AY34" s="25">
        <f t="shared" si="7"/>
        <v>0</v>
      </c>
      <c r="AZ34" s="26">
        <v>0</v>
      </c>
      <c r="BA34" s="1">
        <f t="shared" si="8"/>
        <v>0</v>
      </c>
      <c r="BB34" s="1">
        <f t="shared" si="11"/>
        <v>0</v>
      </c>
      <c r="BC34" s="29">
        <f t="shared" si="12"/>
        <v>0</v>
      </c>
      <c r="BD34" s="27" t="str">
        <f t="shared" si="9"/>
        <v>Yes</v>
      </c>
    </row>
    <row r="35" spans="1:56" s="14" customFormat="1" x14ac:dyDescent="0.25">
      <c r="A35" s="27">
        <v>37</v>
      </c>
      <c r="B35" s="6"/>
      <c r="C35" s="5"/>
      <c r="D35" s="6"/>
      <c r="E35" s="6"/>
      <c r="F35" s="32"/>
      <c r="G35" s="32"/>
      <c r="H35" s="33"/>
      <c r="I35" s="5"/>
      <c r="J35" s="1"/>
      <c r="K35" s="1"/>
      <c r="L35" s="1"/>
      <c r="M35" s="30">
        <f t="shared" si="0"/>
        <v>0</v>
      </c>
      <c r="N35" s="29">
        <f t="shared" si="1"/>
        <v>0</v>
      </c>
      <c r="O35" s="31">
        <f t="shared" si="2"/>
        <v>0</v>
      </c>
      <c r="P35" s="6"/>
      <c r="Q35" s="1"/>
      <c r="R35" s="31">
        <f t="shared" si="3"/>
        <v>0</v>
      </c>
      <c r="S35" s="6"/>
      <c r="T35" s="5"/>
      <c r="U35" s="1"/>
      <c r="V35" s="5"/>
      <c r="W35" s="1"/>
      <c r="X35" s="5"/>
      <c r="Y35" s="6"/>
      <c r="Z35" s="27" t="s">
        <v>47</v>
      </c>
      <c r="AA35" s="27" t="s">
        <v>48</v>
      </c>
      <c r="AB35" s="27" t="s">
        <v>48</v>
      </c>
      <c r="AC35" s="27" t="s">
        <v>48</v>
      </c>
      <c r="AD35" s="27" t="s">
        <v>48</v>
      </c>
      <c r="AE35" s="27" t="s">
        <v>48</v>
      </c>
      <c r="AF35" s="6"/>
      <c r="AG35" s="6"/>
      <c r="AH35" s="6"/>
      <c r="AI35" s="6"/>
      <c r="AJ35" s="6"/>
      <c r="AK35" s="6"/>
      <c r="AL35" s="28"/>
      <c r="AM35" s="27"/>
      <c r="AN35" s="27"/>
      <c r="AO35" s="27"/>
      <c r="AP35" s="27"/>
      <c r="AQ35" s="27"/>
      <c r="AR35" s="1">
        <f t="shared" si="10"/>
        <v>0</v>
      </c>
      <c r="AS35" s="1">
        <f t="shared" si="4"/>
        <v>0</v>
      </c>
      <c r="AT35" s="1">
        <f t="shared" si="5"/>
        <v>0</v>
      </c>
      <c r="AU35" s="1">
        <f t="shared" si="6"/>
        <v>0</v>
      </c>
      <c r="AV35" s="4"/>
      <c r="AW35" s="26">
        <v>1</v>
      </c>
      <c r="AX35" s="4"/>
      <c r="AY35" s="25">
        <f t="shared" si="7"/>
        <v>0</v>
      </c>
      <c r="AZ35" s="26">
        <v>0</v>
      </c>
      <c r="BA35" s="1">
        <f t="shared" si="8"/>
        <v>0</v>
      </c>
      <c r="BB35" s="1">
        <f t="shared" si="11"/>
        <v>0</v>
      </c>
      <c r="BC35" s="29">
        <f t="shared" si="12"/>
        <v>0</v>
      </c>
      <c r="BD35" s="27" t="str">
        <f t="shared" si="9"/>
        <v>Yes</v>
      </c>
    </row>
    <row r="36" spans="1:56" s="14" customFormat="1" x14ac:dyDescent="0.25">
      <c r="A36" s="6">
        <v>38</v>
      </c>
      <c r="B36" s="6"/>
      <c r="C36" s="5"/>
      <c r="D36" s="6"/>
      <c r="E36" s="6"/>
      <c r="F36" s="32"/>
      <c r="G36" s="32"/>
      <c r="H36" s="33"/>
      <c r="I36" s="5"/>
      <c r="J36" s="1"/>
      <c r="K36" s="1"/>
      <c r="L36" s="1"/>
      <c r="M36" s="30">
        <f t="shared" si="0"/>
        <v>0</v>
      </c>
      <c r="N36" s="29">
        <f t="shared" si="1"/>
        <v>0</v>
      </c>
      <c r="O36" s="31">
        <f t="shared" si="2"/>
        <v>0</v>
      </c>
      <c r="P36" s="6"/>
      <c r="Q36" s="1"/>
      <c r="R36" s="31">
        <f t="shared" si="3"/>
        <v>0</v>
      </c>
      <c r="S36" s="6"/>
      <c r="T36" s="5"/>
      <c r="U36" s="1"/>
      <c r="V36" s="5"/>
      <c r="W36" s="1"/>
      <c r="X36" s="5"/>
      <c r="Y36" s="6"/>
      <c r="Z36" s="27" t="s">
        <v>47</v>
      </c>
      <c r="AA36" s="27" t="s">
        <v>48</v>
      </c>
      <c r="AB36" s="27" t="s">
        <v>48</v>
      </c>
      <c r="AC36" s="27" t="s">
        <v>48</v>
      </c>
      <c r="AD36" s="27" t="s">
        <v>48</v>
      </c>
      <c r="AE36" s="27" t="s">
        <v>48</v>
      </c>
      <c r="AF36" s="6"/>
      <c r="AG36" s="6"/>
      <c r="AH36" s="6"/>
      <c r="AI36" s="6"/>
      <c r="AJ36" s="6"/>
      <c r="AK36" s="6"/>
      <c r="AL36" s="28"/>
      <c r="AM36" s="27"/>
      <c r="AN36" s="27"/>
      <c r="AO36" s="27"/>
      <c r="AP36" s="27"/>
      <c r="AQ36" s="27"/>
      <c r="AR36" s="1">
        <f t="shared" si="10"/>
        <v>0</v>
      </c>
      <c r="AS36" s="1">
        <f t="shared" si="4"/>
        <v>0</v>
      </c>
      <c r="AT36" s="1">
        <f t="shared" si="5"/>
        <v>0</v>
      </c>
      <c r="AU36" s="1">
        <f t="shared" si="6"/>
        <v>0</v>
      </c>
      <c r="AV36" s="4"/>
      <c r="AW36" s="26">
        <v>1</v>
      </c>
      <c r="AX36" s="4"/>
      <c r="AY36" s="25">
        <f t="shared" si="7"/>
        <v>0</v>
      </c>
      <c r="AZ36" s="26">
        <v>0</v>
      </c>
      <c r="BA36" s="1">
        <f t="shared" si="8"/>
        <v>0</v>
      </c>
      <c r="BB36" s="1">
        <f t="shared" si="11"/>
        <v>0</v>
      </c>
      <c r="BC36" s="29">
        <f t="shared" si="12"/>
        <v>0</v>
      </c>
      <c r="BD36" s="27" t="str">
        <f t="shared" si="9"/>
        <v>Yes</v>
      </c>
    </row>
    <row r="37" spans="1:56" s="14" customFormat="1" x14ac:dyDescent="0.25">
      <c r="A37" s="27">
        <v>39</v>
      </c>
      <c r="B37" s="6"/>
      <c r="C37" s="5"/>
      <c r="D37" s="6"/>
      <c r="E37" s="6"/>
      <c r="F37" s="32"/>
      <c r="G37" s="32"/>
      <c r="H37" s="33"/>
      <c r="I37" s="5"/>
      <c r="J37" s="1"/>
      <c r="K37" s="1"/>
      <c r="L37" s="1"/>
      <c r="M37" s="30">
        <f t="shared" si="0"/>
        <v>0</v>
      </c>
      <c r="N37" s="29">
        <f t="shared" si="1"/>
        <v>0</v>
      </c>
      <c r="O37" s="31">
        <f t="shared" si="2"/>
        <v>0</v>
      </c>
      <c r="P37" s="6"/>
      <c r="Q37" s="1"/>
      <c r="R37" s="31">
        <f t="shared" si="3"/>
        <v>0</v>
      </c>
      <c r="S37" s="6"/>
      <c r="T37" s="5"/>
      <c r="U37" s="1"/>
      <c r="V37" s="5"/>
      <c r="W37" s="1"/>
      <c r="X37" s="5"/>
      <c r="Y37" s="6"/>
      <c r="Z37" s="27" t="s">
        <v>47</v>
      </c>
      <c r="AA37" s="27" t="s">
        <v>48</v>
      </c>
      <c r="AB37" s="27" t="s">
        <v>48</v>
      </c>
      <c r="AC37" s="27" t="s">
        <v>48</v>
      </c>
      <c r="AD37" s="27" t="s">
        <v>48</v>
      </c>
      <c r="AE37" s="27" t="s">
        <v>48</v>
      </c>
      <c r="AF37" s="6"/>
      <c r="AG37" s="6"/>
      <c r="AH37" s="6"/>
      <c r="AI37" s="6"/>
      <c r="AJ37" s="6"/>
      <c r="AK37" s="6"/>
      <c r="AL37" s="28"/>
      <c r="AM37" s="27"/>
      <c r="AN37" s="27"/>
      <c r="AO37" s="27"/>
      <c r="AP37" s="27"/>
      <c r="AQ37" s="27"/>
      <c r="AR37" s="1">
        <f t="shared" si="10"/>
        <v>0</v>
      </c>
      <c r="AS37" s="1">
        <f t="shared" si="4"/>
        <v>0</v>
      </c>
      <c r="AT37" s="1">
        <f t="shared" si="5"/>
        <v>0</v>
      </c>
      <c r="AU37" s="1">
        <f t="shared" si="6"/>
        <v>0</v>
      </c>
      <c r="AV37" s="4"/>
      <c r="AW37" s="26">
        <v>1</v>
      </c>
      <c r="AX37" s="4"/>
      <c r="AY37" s="25">
        <f t="shared" si="7"/>
        <v>0</v>
      </c>
      <c r="AZ37" s="26">
        <v>0</v>
      </c>
      <c r="BA37" s="1">
        <f t="shared" si="8"/>
        <v>0</v>
      </c>
      <c r="BB37" s="1">
        <f t="shared" si="11"/>
        <v>0</v>
      </c>
      <c r="BC37" s="29">
        <f t="shared" si="12"/>
        <v>0</v>
      </c>
      <c r="BD37" s="27" t="str">
        <f t="shared" si="9"/>
        <v>Yes</v>
      </c>
    </row>
    <row r="38" spans="1:56" s="14" customFormat="1" x14ac:dyDescent="0.25">
      <c r="A38" s="6">
        <v>40</v>
      </c>
      <c r="B38" s="6"/>
      <c r="C38" s="5"/>
      <c r="D38" s="6"/>
      <c r="E38" s="6"/>
      <c r="F38" s="32"/>
      <c r="G38" s="32"/>
      <c r="H38" s="33"/>
      <c r="I38" s="5"/>
      <c r="J38" s="1"/>
      <c r="K38" s="1"/>
      <c r="L38" s="1"/>
      <c r="M38" s="30">
        <f t="shared" si="0"/>
        <v>0</v>
      </c>
      <c r="N38" s="29">
        <f t="shared" si="1"/>
        <v>0</v>
      </c>
      <c r="O38" s="31">
        <f t="shared" si="2"/>
        <v>0</v>
      </c>
      <c r="P38" s="6"/>
      <c r="Q38" s="1"/>
      <c r="R38" s="31">
        <f t="shared" si="3"/>
        <v>0</v>
      </c>
      <c r="S38" s="6"/>
      <c r="T38" s="5"/>
      <c r="U38" s="1"/>
      <c r="V38" s="5"/>
      <c r="W38" s="1"/>
      <c r="X38" s="5"/>
      <c r="Y38" s="6"/>
      <c r="Z38" s="27" t="s">
        <v>47</v>
      </c>
      <c r="AA38" s="27" t="s">
        <v>48</v>
      </c>
      <c r="AB38" s="27" t="s">
        <v>48</v>
      </c>
      <c r="AC38" s="27" t="s">
        <v>48</v>
      </c>
      <c r="AD38" s="27" t="s">
        <v>48</v>
      </c>
      <c r="AE38" s="27" t="s">
        <v>48</v>
      </c>
      <c r="AF38" s="6"/>
      <c r="AG38" s="6"/>
      <c r="AH38" s="6"/>
      <c r="AI38" s="6"/>
      <c r="AJ38" s="6"/>
      <c r="AK38" s="6"/>
      <c r="AL38" s="28"/>
      <c r="AM38" s="27"/>
      <c r="AN38" s="27"/>
      <c r="AO38" s="27"/>
      <c r="AP38" s="27"/>
      <c r="AQ38" s="27"/>
      <c r="AR38" s="1">
        <f t="shared" si="10"/>
        <v>0</v>
      </c>
      <c r="AS38" s="1">
        <f t="shared" si="4"/>
        <v>0</v>
      </c>
      <c r="AT38" s="1">
        <f t="shared" si="5"/>
        <v>0</v>
      </c>
      <c r="AU38" s="1">
        <f t="shared" si="6"/>
        <v>0</v>
      </c>
      <c r="AV38" s="4"/>
      <c r="AW38" s="26">
        <v>1</v>
      </c>
      <c r="AX38" s="4"/>
      <c r="AY38" s="25">
        <f t="shared" si="7"/>
        <v>0</v>
      </c>
      <c r="AZ38" s="26">
        <v>0</v>
      </c>
      <c r="BA38" s="1">
        <f t="shared" si="8"/>
        <v>0</v>
      </c>
      <c r="BB38" s="1">
        <f t="shared" si="11"/>
        <v>0</v>
      </c>
      <c r="BC38" s="29">
        <f t="shared" si="12"/>
        <v>0</v>
      </c>
      <c r="BD38" s="27" t="str">
        <f t="shared" si="9"/>
        <v>Yes</v>
      </c>
    </row>
    <row r="39" spans="1:56" s="14" customFormat="1" x14ac:dyDescent="0.25">
      <c r="A39" s="27">
        <v>41</v>
      </c>
      <c r="B39" s="6"/>
      <c r="C39" s="5"/>
      <c r="D39" s="6"/>
      <c r="E39" s="6"/>
      <c r="F39" s="32"/>
      <c r="G39" s="32"/>
      <c r="H39" s="33"/>
      <c r="I39" s="5"/>
      <c r="J39" s="1"/>
      <c r="K39" s="1"/>
      <c r="L39" s="1"/>
      <c r="M39" s="30">
        <f t="shared" si="0"/>
        <v>0</v>
      </c>
      <c r="N39" s="29">
        <f t="shared" si="1"/>
        <v>0</v>
      </c>
      <c r="O39" s="31">
        <f t="shared" si="2"/>
        <v>0</v>
      </c>
      <c r="P39" s="6"/>
      <c r="Q39" s="1"/>
      <c r="R39" s="31">
        <f t="shared" si="3"/>
        <v>0</v>
      </c>
      <c r="S39" s="6"/>
      <c r="T39" s="5"/>
      <c r="U39" s="1"/>
      <c r="V39" s="5"/>
      <c r="W39" s="1"/>
      <c r="X39" s="5"/>
      <c r="Y39" s="6"/>
      <c r="Z39" s="27" t="s">
        <v>47</v>
      </c>
      <c r="AA39" s="27" t="s">
        <v>48</v>
      </c>
      <c r="AB39" s="27" t="s">
        <v>48</v>
      </c>
      <c r="AC39" s="27" t="s">
        <v>48</v>
      </c>
      <c r="AD39" s="27" t="s">
        <v>48</v>
      </c>
      <c r="AE39" s="27" t="s">
        <v>48</v>
      </c>
      <c r="AF39" s="6"/>
      <c r="AG39" s="6"/>
      <c r="AH39" s="6"/>
      <c r="AI39" s="6"/>
      <c r="AJ39" s="6"/>
      <c r="AK39" s="6"/>
      <c r="AL39" s="28"/>
      <c r="AM39" s="27"/>
      <c r="AN39" s="27"/>
      <c r="AO39" s="27"/>
      <c r="AP39" s="27"/>
      <c r="AQ39" s="27"/>
      <c r="AR39" s="1">
        <f t="shared" si="10"/>
        <v>0</v>
      </c>
      <c r="AS39" s="1">
        <f t="shared" si="4"/>
        <v>0</v>
      </c>
      <c r="AT39" s="1">
        <f t="shared" si="5"/>
        <v>0</v>
      </c>
      <c r="AU39" s="1">
        <f t="shared" si="6"/>
        <v>0</v>
      </c>
      <c r="AV39" s="4"/>
      <c r="AW39" s="26">
        <v>1</v>
      </c>
      <c r="AX39" s="4"/>
      <c r="AY39" s="25">
        <f t="shared" si="7"/>
        <v>0</v>
      </c>
      <c r="AZ39" s="26">
        <v>0</v>
      </c>
      <c r="BA39" s="1">
        <f t="shared" si="8"/>
        <v>0</v>
      </c>
      <c r="BB39" s="1">
        <f t="shared" si="11"/>
        <v>0</v>
      </c>
      <c r="BC39" s="29">
        <f t="shared" si="12"/>
        <v>0</v>
      </c>
      <c r="BD39" s="27" t="str">
        <f t="shared" si="9"/>
        <v>Yes</v>
      </c>
    </row>
    <row r="40" spans="1:56" s="14" customFormat="1" x14ac:dyDescent="0.25">
      <c r="A40" s="6">
        <v>42</v>
      </c>
      <c r="B40" s="6"/>
      <c r="C40" s="5"/>
      <c r="D40" s="6"/>
      <c r="E40" s="6"/>
      <c r="F40" s="32"/>
      <c r="G40" s="32"/>
      <c r="H40" s="33"/>
      <c r="I40" s="5"/>
      <c r="J40" s="1"/>
      <c r="K40" s="1"/>
      <c r="L40" s="1"/>
      <c r="M40" s="30">
        <f t="shared" si="0"/>
        <v>0</v>
      </c>
      <c r="N40" s="29">
        <f t="shared" si="1"/>
        <v>0</v>
      </c>
      <c r="O40" s="31">
        <f t="shared" si="2"/>
        <v>0</v>
      </c>
      <c r="P40" s="6"/>
      <c r="Q40" s="1"/>
      <c r="R40" s="31">
        <f t="shared" si="3"/>
        <v>0</v>
      </c>
      <c r="S40" s="6"/>
      <c r="T40" s="5"/>
      <c r="U40" s="1"/>
      <c r="V40" s="5"/>
      <c r="W40" s="1"/>
      <c r="X40" s="5"/>
      <c r="Y40" s="6"/>
      <c r="Z40" s="27" t="s">
        <v>47</v>
      </c>
      <c r="AA40" s="27" t="s">
        <v>48</v>
      </c>
      <c r="AB40" s="27" t="s">
        <v>48</v>
      </c>
      <c r="AC40" s="27" t="s">
        <v>48</v>
      </c>
      <c r="AD40" s="27" t="s">
        <v>48</v>
      </c>
      <c r="AE40" s="27" t="s">
        <v>48</v>
      </c>
      <c r="AF40" s="6"/>
      <c r="AG40" s="6"/>
      <c r="AH40" s="6"/>
      <c r="AI40" s="6"/>
      <c r="AJ40" s="6"/>
      <c r="AK40" s="6"/>
      <c r="AL40" s="28"/>
      <c r="AM40" s="27"/>
      <c r="AN40" s="27"/>
      <c r="AO40" s="27"/>
      <c r="AP40" s="27"/>
      <c r="AQ40" s="27"/>
      <c r="AR40" s="1">
        <f t="shared" si="10"/>
        <v>0</v>
      </c>
      <c r="AS40" s="1">
        <f t="shared" si="4"/>
        <v>0</v>
      </c>
      <c r="AT40" s="1">
        <f t="shared" si="5"/>
        <v>0</v>
      </c>
      <c r="AU40" s="1">
        <f t="shared" si="6"/>
        <v>0</v>
      </c>
      <c r="AV40" s="4"/>
      <c r="AW40" s="26">
        <v>1</v>
      </c>
      <c r="AX40" s="4"/>
      <c r="AY40" s="25">
        <f t="shared" si="7"/>
        <v>0</v>
      </c>
      <c r="AZ40" s="26">
        <v>0</v>
      </c>
      <c r="BA40" s="1">
        <f t="shared" si="8"/>
        <v>0</v>
      </c>
      <c r="BB40" s="1">
        <f t="shared" si="11"/>
        <v>0</v>
      </c>
      <c r="BC40" s="29">
        <f t="shared" si="12"/>
        <v>0</v>
      </c>
      <c r="BD40" s="27" t="str">
        <f t="shared" si="9"/>
        <v>Yes</v>
      </c>
    </row>
    <row r="41" spans="1:56" s="14" customFormat="1" x14ac:dyDescent="0.25">
      <c r="A41" s="27">
        <v>43</v>
      </c>
      <c r="B41" s="6"/>
      <c r="C41" s="5"/>
      <c r="D41" s="6"/>
      <c r="E41" s="6"/>
      <c r="F41" s="32"/>
      <c r="G41" s="32"/>
      <c r="H41" s="33"/>
      <c r="I41" s="5"/>
      <c r="J41" s="1"/>
      <c r="K41" s="1"/>
      <c r="L41" s="1"/>
      <c r="M41" s="30">
        <f t="shared" si="0"/>
        <v>0</v>
      </c>
      <c r="N41" s="29">
        <f t="shared" si="1"/>
        <v>0</v>
      </c>
      <c r="O41" s="31">
        <f t="shared" si="2"/>
        <v>0</v>
      </c>
      <c r="P41" s="6"/>
      <c r="Q41" s="1"/>
      <c r="R41" s="31">
        <f t="shared" si="3"/>
        <v>0</v>
      </c>
      <c r="S41" s="6"/>
      <c r="T41" s="5"/>
      <c r="U41" s="1"/>
      <c r="V41" s="5"/>
      <c r="W41" s="1"/>
      <c r="X41" s="5"/>
      <c r="Y41" s="6"/>
      <c r="Z41" s="27" t="s">
        <v>47</v>
      </c>
      <c r="AA41" s="27" t="s">
        <v>48</v>
      </c>
      <c r="AB41" s="27" t="s">
        <v>48</v>
      </c>
      <c r="AC41" s="27" t="s">
        <v>48</v>
      </c>
      <c r="AD41" s="27" t="s">
        <v>48</v>
      </c>
      <c r="AE41" s="27" t="s">
        <v>48</v>
      </c>
      <c r="AF41" s="6"/>
      <c r="AG41" s="6"/>
      <c r="AH41" s="6"/>
      <c r="AI41" s="6"/>
      <c r="AJ41" s="6"/>
      <c r="AK41" s="6"/>
      <c r="AL41" s="28"/>
      <c r="AM41" s="27"/>
      <c r="AN41" s="27"/>
      <c r="AO41" s="27"/>
      <c r="AP41" s="27"/>
      <c r="AQ41" s="27"/>
      <c r="AR41" s="1">
        <f t="shared" si="10"/>
        <v>0</v>
      </c>
      <c r="AS41" s="1">
        <f t="shared" si="4"/>
        <v>0</v>
      </c>
      <c r="AT41" s="1">
        <f t="shared" si="5"/>
        <v>0</v>
      </c>
      <c r="AU41" s="1">
        <f t="shared" si="6"/>
        <v>0</v>
      </c>
      <c r="AV41" s="4"/>
      <c r="AW41" s="26">
        <v>1</v>
      </c>
      <c r="AX41" s="4"/>
      <c r="AY41" s="25">
        <f t="shared" si="7"/>
        <v>0</v>
      </c>
      <c r="AZ41" s="26">
        <v>0</v>
      </c>
      <c r="BA41" s="1">
        <f t="shared" si="8"/>
        <v>0</v>
      </c>
      <c r="BB41" s="1">
        <f t="shared" si="11"/>
        <v>0</v>
      </c>
      <c r="BC41" s="29">
        <f t="shared" si="12"/>
        <v>0</v>
      </c>
      <c r="BD41" s="27" t="str">
        <f t="shared" si="9"/>
        <v>Yes</v>
      </c>
    </row>
    <row r="42" spans="1:56" s="14" customFormat="1" x14ac:dyDescent="0.25">
      <c r="A42" s="6">
        <v>44</v>
      </c>
      <c r="B42" s="6"/>
      <c r="C42" s="5"/>
      <c r="D42" s="6"/>
      <c r="E42" s="6"/>
      <c r="F42" s="32"/>
      <c r="G42" s="32"/>
      <c r="H42" s="33"/>
      <c r="I42" s="5"/>
      <c r="J42" s="1"/>
      <c r="K42" s="1"/>
      <c r="L42" s="1"/>
      <c r="M42" s="30">
        <f t="shared" si="0"/>
        <v>0</v>
      </c>
      <c r="N42" s="29">
        <f t="shared" si="1"/>
        <v>0</v>
      </c>
      <c r="O42" s="31">
        <f t="shared" si="2"/>
        <v>0</v>
      </c>
      <c r="P42" s="6"/>
      <c r="Q42" s="1"/>
      <c r="R42" s="31">
        <f t="shared" si="3"/>
        <v>0</v>
      </c>
      <c r="S42" s="6"/>
      <c r="T42" s="5"/>
      <c r="U42" s="1"/>
      <c r="V42" s="5"/>
      <c r="W42" s="1"/>
      <c r="X42" s="5"/>
      <c r="Y42" s="6"/>
      <c r="Z42" s="27" t="s">
        <v>47</v>
      </c>
      <c r="AA42" s="27" t="s">
        <v>48</v>
      </c>
      <c r="AB42" s="27" t="s">
        <v>48</v>
      </c>
      <c r="AC42" s="27" t="s">
        <v>48</v>
      </c>
      <c r="AD42" s="27" t="s">
        <v>48</v>
      </c>
      <c r="AE42" s="27" t="s">
        <v>48</v>
      </c>
      <c r="AF42" s="6"/>
      <c r="AG42" s="6"/>
      <c r="AH42" s="6"/>
      <c r="AI42" s="6"/>
      <c r="AJ42" s="6"/>
      <c r="AK42" s="6"/>
      <c r="AL42" s="28"/>
      <c r="AM42" s="27"/>
      <c r="AN42" s="27"/>
      <c r="AO42" s="27"/>
      <c r="AP42" s="27"/>
      <c r="AQ42" s="27"/>
      <c r="AR42" s="1">
        <f t="shared" si="10"/>
        <v>0</v>
      </c>
      <c r="AS42" s="1">
        <f t="shared" si="4"/>
        <v>0</v>
      </c>
      <c r="AT42" s="1">
        <f t="shared" si="5"/>
        <v>0</v>
      </c>
      <c r="AU42" s="1">
        <f t="shared" si="6"/>
        <v>0</v>
      </c>
      <c r="AV42" s="4"/>
      <c r="AW42" s="26">
        <v>1</v>
      </c>
      <c r="AX42" s="4"/>
      <c r="AY42" s="25">
        <f t="shared" si="7"/>
        <v>0</v>
      </c>
      <c r="AZ42" s="26">
        <v>0</v>
      </c>
      <c r="BA42" s="1">
        <f t="shared" si="8"/>
        <v>0</v>
      </c>
      <c r="BB42" s="1">
        <f t="shared" si="11"/>
        <v>0</v>
      </c>
      <c r="BC42" s="29">
        <f t="shared" si="12"/>
        <v>0</v>
      </c>
      <c r="BD42" s="27" t="str">
        <f t="shared" si="9"/>
        <v>Yes</v>
      </c>
    </row>
    <row r="43" spans="1:56" s="14" customFormat="1" x14ac:dyDescent="0.25">
      <c r="A43" s="27">
        <v>45</v>
      </c>
      <c r="B43" s="6"/>
      <c r="C43" s="5"/>
      <c r="D43" s="6"/>
      <c r="E43" s="6"/>
      <c r="F43" s="32"/>
      <c r="G43" s="32"/>
      <c r="H43" s="33"/>
      <c r="I43" s="5"/>
      <c r="J43" s="1"/>
      <c r="K43" s="1"/>
      <c r="L43" s="1"/>
      <c r="M43" s="30">
        <f t="shared" si="0"/>
        <v>0</v>
      </c>
      <c r="N43" s="29">
        <f t="shared" si="1"/>
        <v>0</v>
      </c>
      <c r="O43" s="31">
        <f t="shared" si="2"/>
        <v>0</v>
      </c>
      <c r="P43" s="6"/>
      <c r="Q43" s="1"/>
      <c r="R43" s="31">
        <f t="shared" si="3"/>
        <v>0</v>
      </c>
      <c r="S43" s="6"/>
      <c r="T43" s="5"/>
      <c r="U43" s="1"/>
      <c r="V43" s="5"/>
      <c r="W43" s="1"/>
      <c r="X43" s="5"/>
      <c r="Y43" s="6"/>
      <c r="Z43" s="27" t="s">
        <v>47</v>
      </c>
      <c r="AA43" s="27" t="s">
        <v>48</v>
      </c>
      <c r="AB43" s="27" t="s">
        <v>48</v>
      </c>
      <c r="AC43" s="27" t="s">
        <v>48</v>
      </c>
      <c r="AD43" s="27" t="s">
        <v>48</v>
      </c>
      <c r="AE43" s="27" t="s">
        <v>48</v>
      </c>
      <c r="AF43" s="6"/>
      <c r="AG43" s="6"/>
      <c r="AH43" s="6"/>
      <c r="AI43" s="6"/>
      <c r="AJ43" s="6"/>
      <c r="AK43" s="6"/>
      <c r="AL43" s="28"/>
      <c r="AM43" s="27"/>
      <c r="AN43" s="27"/>
      <c r="AO43" s="27"/>
      <c r="AP43" s="27"/>
      <c r="AQ43" s="27"/>
      <c r="AR43" s="1">
        <f t="shared" si="10"/>
        <v>0</v>
      </c>
      <c r="AS43" s="1">
        <f t="shared" si="4"/>
        <v>0</v>
      </c>
      <c r="AT43" s="1">
        <f t="shared" si="5"/>
        <v>0</v>
      </c>
      <c r="AU43" s="1">
        <f t="shared" si="6"/>
        <v>0</v>
      </c>
      <c r="AV43" s="4"/>
      <c r="AW43" s="26">
        <v>1</v>
      </c>
      <c r="AX43" s="4"/>
      <c r="AY43" s="25">
        <f t="shared" si="7"/>
        <v>0</v>
      </c>
      <c r="AZ43" s="26">
        <v>0</v>
      </c>
      <c r="BA43" s="1">
        <f t="shared" si="8"/>
        <v>0</v>
      </c>
      <c r="BB43" s="1">
        <f t="shared" si="11"/>
        <v>0</v>
      </c>
      <c r="BC43" s="29">
        <f t="shared" si="12"/>
        <v>0</v>
      </c>
      <c r="BD43" s="27" t="str">
        <f t="shared" si="9"/>
        <v>Yes</v>
      </c>
    </row>
    <row r="44" spans="1:56" s="14" customFormat="1" x14ac:dyDescent="0.25">
      <c r="A44" s="6">
        <v>46</v>
      </c>
      <c r="B44" s="6"/>
      <c r="C44" s="5"/>
      <c r="D44" s="6"/>
      <c r="E44" s="6"/>
      <c r="F44" s="32"/>
      <c r="G44" s="32"/>
      <c r="H44" s="33"/>
      <c r="I44" s="5"/>
      <c r="J44" s="1"/>
      <c r="K44" s="1"/>
      <c r="L44" s="1"/>
      <c r="M44" s="30">
        <f t="shared" si="0"/>
        <v>0</v>
      </c>
      <c r="N44" s="29">
        <f t="shared" si="1"/>
        <v>0</v>
      </c>
      <c r="O44" s="31">
        <f t="shared" si="2"/>
        <v>0</v>
      </c>
      <c r="P44" s="6"/>
      <c r="Q44" s="1"/>
      <c r="R44" s="31">
        <f t="shared" si="3"/>
        <v>0</v>
      </c>
      <c r="S44" s="6"/>
      <c r="T44" s="5"/>
      <c r="U44" s="1"/>
      <c r="V44" s="5"/>
      <c r="W44" s="1"/>
      <c r="X44" s="5"/>
      <c r="Y44" s="6"/>
      <c r="Z44" s="27" t="s">
        <v>47</v>
      </c>
      <c r="AA44" s="27" t="s">
        <v>48</v>
      </c>
      <c r="AB44" s="27" t="s">
        <v>48</v>
      </c>
      <c r="AC44" s="27" t="s">
        <v>48</v>
      </c>
      <c r="AD44" s="27" t="s">
        <v>48</v>
      </c>
      <c r="AE44" s="27" t="s">
        <v>48</v>
      </c>
      <c r="AF44" s="6"/>
      <c r="AG44" s="6"/>
      <c r="AH44" s="6"/>
      <c r="AI44" s="6"/>
      <c r="AJ44" s="6"/>
      <c r="AK44" s="6"/>
      <c r="AL44" s="28"/>
      <c r="AM44" s="27"/>
      <c r="AN44" s="27"/>
      <c r="AO44" s="27"/>
      <c r="AP44" s="27"/>
      <c r="AQ44" s="27"/>
      <c r="AR44" s="1">
        <f t="shared" si="10"/>
        <v>0</v>
      </c>
      <c r="AS44" s="1">
        <f t="shared" si="4"/>
        <v>0</v>
      </c>
      <c r="AT44" s="1">
        <f t="shared" si="5"/>
        <v>0</v>
      </c>
      <c r="AU44" s="1">
        <f t="shared" si="6"/>
        <v>0</v>
      </c>
      <c r="AV44" s="4"/>
      <c r="AW44" s="26">
        <v>1</v>
      </c>
      <c r="AX44" s="4"/>
      <c r="AY44" s="25">
        <f t="shared" si="7"/>
        <v>0</v>
      </c>
      <c r="AZ44" s="26">
        <v>0</v>
      </c>
      <c r="BA44" s="1">
        <f t="shared" si="8"/>
        <v>0</v>
      </c>
      <c r="BB44" s="1">
        <f t="shared" si="11"/>
        <v>0</v>
      </c>
      <c r="BC44" s="29">
        <f t="shared" si="12"/>
        <v>0</v>
      </c>
      <c r="BD44" s="27" t="str">
        <f t="shared" si="9"/>
        <v>Yes</v>
      </c>
    </row>
    <row r="45" spans="1:56" s="14" customFormat="1" x14ac:dyDescent="0.25">
      <c r="A45" s="27">
        <v>47</v>
      </c>
      <c r="B45" s="6"/>
      <c r="C45" s="5"/>
      <c r="D45" s="6"/>
      <c r="E45" s="6"/>
      <c r="F45" s="32"/>
      <c r="G45" s="32"/>
      <c r="H45" s="33"/>
      <c r="I45" s="5"/>
      <c r="J45" s="1"/>
      <c r="K45" s="1"/>
      <c r="L45" s="1"/>
      <c r="M45" s="30">
        <f t="shared" si="0"/>
        <v>0</v>
      </c>
      <c r="N45" s="29">
        <f t="shared" si="1"/>
        <v>0</v>
      </c>
      <c r="O45" s="31">
        <f t="shared" si="2"/>
        <v>0</v>
      </c>
      <c r="P45" s="6"/>
      <c r="Q45" s="1"/>
      <c r="R45" s="31">
        <f t="shared" si="3"/>
        <v>0</v>
      </c>
      <c r="S45" s="6"/>
      <c r="T45" s="5"/>
      <c r="U45" s="1"/>
      <c r="V45" s="5"/>
      <c r="W45" s="1"/>
      <c r="X45" s="5"/>
      <c r="Y45" s="6"/>
      <c r="Z45" s="27" t="s">
        <v>47</v>
      </c>
      <c r="AA45" s="27" t="s">
        <v>48</v>
      </c>
      <c r="AB45" s="27" t="s">
        <v>48</v>
      </c>
      <c r="AC45" s="27" t="s">
        <v>48</v>
      </c>
      <c r="AD45" s="27" t="s">
        <v>48</v>
      </c>
      <c r="AE45" s="27" t="s">
        <v>48</v>
      </c>
      <c r="AF45" s="6"/>
      <c r="AG45" s="6"/>
      <c r="AH45" s="6"/>
      <c r="AI45" s="6"/>
      <c r="AJ45" s="6"/>
      <c r="AK45" s="6"/>
      <c r="AL45" s="28"/>
      <c r="AM45" s="27"/>
      <c r="AN45" s="27"/>
      <c r="AO45" s="27"/>
      <c r="AP45" s="27"/>
      <c r="AQ45" s="27"/>
      <c r="AR45" s="1">
        <f t="shared" si="10"/>
        <v>0</v>
      </c>
      <c r="AS45" s="1">
        <f t="shared" si="4"/>
        <v>0</v>
      </c>
      <c r="AT45" s="1">
        <f t="shared" si="5"/>
        <v>0</v>
      </c>
      <c r="AU45" s="1">
        <f t="shared" si="6"/>
        <v>0</v>
      </c>
      <c r="AV45" s="4"/>
      <c r="AW45" s="26">
        <v>1</v>
      </c>
      <c r="AX45" s="4"/>
      <c r="AY45" s="25">
        <f t="shared" si="7"/>
        <v>0</v>
      </c>
      <c r="AZ45" s="26">
        <v>0</v>
      </c>
      <c r="BA45" s="1">
        <f t="shared" si="8"/>
        <v>0</v>
      </c>
      <c r="BB45" s="1">
        <f t="shared" si="11"/>
        <v>0</v>
      </c>
      <c r="BC45" s="29">
        <f t="shared" si="12"/>
        <v>0</v>
      </c>
      <c r="BD45" s="27" t="str">
        <f t="shared" si="9"/>
        <v>Yes</v>
      </c>
    </row>
    <row r="46" spans="1:56" s="14" customFormat="1" x14ac:dyDescent="0.25">
      <c r="A46" s="6">
        <v>48</v>
      </c>
      <c r="B46" s="6"/>
      <c r="C46" s="5"/>
      <c r="D46" s="6"/>
      <c r="E46" s="6"/>
      <c r="F46" s="32"/>
      <c r="G46" s="32"/>
      <c r="H46" s="33"/>
      <c r="I46" s="5"/>
      <c r="J46" s="1"/>
      <c r="K46" s="1"/>
      <c r="L46" s="1"/>
      <c r="M46" s="30">
        <f t="shared" si="0"/>
        <v>0</v>
      </c>
      <c r="N46" s="29">
        <f t="shared" si="1"/>
        <v>0</v>
      </c>
      <c r="O46" s="31">
        <f t="shared" si="2"/>
        <v>0</v>
      </c>
      <c r="P46" s="6"/>
      <c r="Q46" s="1"/>
      <c r="R46" s="31">
        <f t="shared" si="3"/>
        <v>0</v>
      </c>
      <c r="S46" s="6"/>
      <c r="T46" s="5"/>
      <c r="U46" s="1"/>
      <c r="V46" s="5"/>
      <c r="W46" s="1"/>
      <c r="X46" s="5"/>
      <c r="Y46" s="6"/>
      <c r="Z46" s="27" t="s">
        <v>47</v>
      </c>
      <c r="AA46" s="27" t="s">
        <v>48</v>
      </c>
      <c r="AB46" s="27" t="s">
        <v>48</v>
      </c>
      <c r="AC46" s="27" t="s">
        <v>48</v>
      </c>
      <c r="AD46" s="27" t="s">
        <v>48</v>
      </c>
      <c r="AE46" s="27" t="s">
        <v>48</v>
      </c>
      <c r="AF46" s="6"/>
      <c r="AG46" s="6"/>
      <c r="AH46" s="6"/>
      <c r="AI46" s="6"/>
      <c r="AJ46" s="6"/>
      <c r="AK46" s="6"/>
      <c r="AL46" s="28"/>
      <c r="AM46" s="27"/>
      <c r="AN46" s="27"/>
      <c r="AO46" s="27"/>
      <c r="AP46" s="27"/>
      <c r="AQ46" s="27"/>
      <c r="AR46" s="1">
        <f t="shared" si="10"/>
        <v>0</v>
      </c>
      <c r="AS46" s="1">
        <f t="shared" si="4"/>
        <v>0</v>
      </c>
      <c r="AT46" s="1">
        <f t="shared" si="5"/>
        <v>0</v>
      </c>
      <c r="AU46" s="1">
        <f t="shared" si="6"/>
        <v>0</v>
      </c>
      <c r="AV46" s="4"/>
      <c r="AW46" s="26">
        <v>1</v>
      </c>
      <c r="AX46" s="4"/>
      <c r="AY46" s="25">
        <f t="shared" si="7"/>
        <v>0</v>
      </c>
      <c r="AZ46" s="26">
        <v>0</v>
      </c>
      <c r="BA46" s="1">
        <f t="shared" si="8"/>
        <v>0</v>
      </c>
      <c r="BB46" s="1">
        <f t="shared" si="11"/>
        <v>0</v>
      </c>
      <c r="BC46" s="29">
        <f t="shared" si="12"/>
        <v>0</v>
      </c>
      <c r="BD46" s="27" t="str">
        <f t="shared" si="9"/>
        <v>Yes</v>
      </c>
    </row>
    <row r="47" spans="1:56" s="14" customFormat="1" x14ac:dyDescent="0.25">
      <c r="A47" s="27">
        <v>49</v>
      </c>
      <c r="B47" s="6"/>
      <c r="C47" s="5"/>
      <c r="D47" s="6"/>
      <c r="E47" s="6"/>
      <c r="F47" s="32"/>
      <c r="G47" s="32"/>
      <c r="H47" s="33"/>
      <c r="I47" s="5"/>
      <c r="J47" s="1"/>
      <c r="K47" s="1"/>
      <c r="L47" s="1"/>
      <c r="M47" s="30">
        <f t="shared" si="0"/>
        <v>0</v>
      </c>
      <c r="N47" s="29">
        <f t="shared" si="1"/>
        <v>0</v>
      </c>
      <c r="O47" s="31">
        <f t="shared" si="2"/>
        <v>0</v>
      </c>
      <c r="P47" s="6"/>
      <c r="Q47" s="1"/>
      <c r="R47" s="31">
        <f t="shared" si="3"/>
        <v>0</v>
      </c>
      <c r="S47" s="6"/>
      <c r="T47" s="5"/>
      <c r="U47" s="1"/>
      <c r="V47" s="5"/>
      <c r="W47" s="1"/>
      <c r="X47" s="5"/>
      <c r="Y47" s="6"/>
      <c r="Z47" s="27" t="s">
        <v>47</v>
      </c>
      <c r="AA47" s="27" t="s">
        <v>48</v>
      </c>
      <c r="AB47" s="27" t="s">
        <v>48</v>
      </c>
      <c r="AC47" s="27" t="s">
        <v>48</v>
      </c>
      <c r="AD47" s="27" t="s">
        <v>48</v>
      </c>
      <c r="AE47" s="27" t="s">
        <v>48</v>
      </c>
      <c r="AF47" s="6"/>
      <c r="AG47" s="6"/>
      <c r="AH47" s="6"/>
      <c r="AI47" s="6"/>
      <c r="AJ47" s="6"/>
      <c r="AK47" s="6"/>
      <c r="AL47" s="28"/>
      <c r="AM47" s="27"/>
      <c r="AN47" s="27"/>
      <c r="AO47" s="27"/>
      <c r="AP47" s="27"/>
      <c r="AQ47" s="27"/>
      <c r="AR47" s="1">
        <f t="shared" si="10"/>
        <v>0</v>
      </c>
      <c r="AS47" s="1">
        <f t="shared" si="4"/>
        <v>0</v>
      </c>
      <c r="AT47" s="1">
        <f t="shared" si="5"/>
        <v>0</v>
      </c>
      <c r="AU47" s="1">
        <f t="shared" si="6"/>
        <v>0</v>
      </c>
      <c r="AV47" s="4"/>
      <c r="AW47" s="26">
        <v>1</v>
      </c>
      <c r="AX47" s="4"/>
      <c r="AY47" s="25">
        <f t="shared" si="7"/>
        <v>0</v>
      </c>
      <c r="AZ47" s="26">
        <v>0</v>
      </c>
      <c r="BA47" s="1">
        <f t="shared" si="8"/>
        <v>0</v>
      </c>
      <c r="BB47" s="1">
        <f t="shared" si="11"/>
        <v>0</v>
      </c>
      <c r="BC47" s="29">
        <f t="shared" si="12"/>
        <v>0</v>
      </c>
      <c r="BD47" s="27" t="str">
        <f t="shared" si="9"/>
        <v>Yes</v>
      </c>
    </row>
    <row r="48" spans="1:56" s="14" customFormat="1" x14ac:dyDescent="0.25">
      <c r="A48" s="6">
        <v>50</v>
      </c>
      <c r="B48" s="6"/>
      <c r="C48" s="5"/>
      <c r="D48" s="6"/>
      <c r="E48" s="6"/>
      <c r="F48" s="32"/>
      <c r="G48" s="32"/>
      <c r="H48" s="33"/>
      <c r="I48" s="5"/>
      <c r="J48" s="1"/>
      <c r="K48" s="1"/>
      <c r="L48" s="1"/>
      <c r="M48" s="30">
        <f t="shared" si="0"/>
        <v>0</v>
      </c>
      <c r="N48" s="29">
        <f t="shared" si="1"/>
        <v>0</v>
      </c>
      <c r="O48" s="31">
        <f t="shared" si="2"/>
        <v>0</v>
      </c>
      <c r="P48" s="6"/>
      <c r="Q48" s="1"/>
      <c r="R48" s="31">
        <f t="shared" si="3"/>
        <v>0</v>
      </c>
      <c r="S48" s="6"/>
      <c r="T48" s="5"/>
      <c r="U48" s="1"/>
      <c r="V48" s="5"/>
      <c r="W48" s="1"/>
      <c r="X48" s="5"/>
      <c r="Y48" s="6"/>
      <c r="Z48" s="27" t="s">
        <v>47</v>
      </c>
      <c r="AA48" s="27" t="s">
        <v>48</v>
      </c>
      <c r="AB48" s="27" t="s">
        <v>48</v>
      </c>
      <c r="AC48" s="27" t="s">
        <v>48</v>
      </c>
      <c r="AD48" s="27" t="s">
        <v>48</v>
      </c>
      <c r="AE48" s="27" t="s">
        <v>48</v>
      </c>
      <c r="AF48" s="6"/>
      <c r="AG48" s="6"/>
      <c r="AH48" s="6"/>
      <c r="AI48" s="6"/>
      <c r="AJ48" s="6"/>
      <c r="AK48" s="6"/>
      <c r="AL48" s="28"/>
      <c r="AM48" s="27"/>
      <c r="AN48" s="27"/>
      <c r="AO48" s="27"/>
      <c r="AP48" s="27"/>
      <c r="AQ48" s="27"/>
      <c r="AR48" s="1">
        <f t="shared" si="10"/>
        <v>0</v>
      </c>
      <c r="AS48" s="1">
        <f t="shared" si="4"/>
        <v>0</v>
      </c>
      <c r="AT48" s="1">
        <f t="shared" si="5"/>
        <v>0</v>
      </c>
      <c r="AU48" s="1">
        <f t="shared" si="6"/>
        <v>0</v>
      </c>
      <c r="AV48" s="4"/>
      <c r="AW48" s="26">
        <v>1</v>
      </c>
      <c r="AX48" s="4"/>
      <c r="AY48" s="25">
        <f t="shared" si="7"/>
        <v>0</v>
      </c>
      <c r="AZ48" s="26">
        <v>0</v>
      </c>
      <c r="BA48" s="1">
        <f t="shared" si="8"/>
        <v>0</v>
      </c>
      <c r="BB48" s="1">
        <f t="shared" si="11"/>
        <v>0</v>
      </c>
      <c r="BC48" s="29">
        <f t="shared" si="12"/>
        <v>0</v>
      </c>
      <c r="BD48" s="27" t="str">
        <f t="shared" si="9"/>
        <v>Yes</v>
      </c>
    </row>
  </sheetData>
  <phoneticPr fontId="4" type="noConversion"/>
  <conditionalFormatting sqref="E1">
    <cfRule type="duplicateValues" dxfId="5" priority="9"/>
  </conditionalFormatting>
  <conditionalFormatting sqref="E2:E8">
    <cfRule type="duplicateValues" dxfId="4" priority="10"/>
  </conditionalFormatting>
  <conditionalFormatting sqref="E13:E16">
    <cfRule type="duplicateValues" dxfId="3" priority="4"/>
  </conditionalFormatting>
  <conditionalFormatting sqref="F1:G1">
    <cfRule type="duplicateValues" dxfId="2" priority="8"/>
  </conditionalFormatting>
  <conditionalFormatting sqref="AF10:AK10 AF11:AG12">
    <cfRule type="containsText" dxfId="1" priority="3" operator="containsText" text="CHECK">
      <formula>NOT(ISERROR(SEARCH("CHECK",AF10)))</formula>
    </cfRule>
  </conditionalFormatting>
  <conditionalFormatting sqref="AF17:AK17 AF18:AG19">
    <cfRule type="containsText" dxfId="0" priority="2" operator="containsText" text="CHECK">
      <formula>NOT(ISERROR(SEARCH("CHECK",AF17)))</formula>
    </cfRule>
  </conditionalFormatting>
  <dataValidations disablePrompts="1" count="2">
    <dataValidation type="list" allowBlank="1" showInputMessage="1" showErrorMessage="1" sqref="P10:P48" xr:uid="{00000000-0002-0000-0000-000000000000}">
      <formula1>"LUMP SUM, ATP"</formula1>
    </dataValidation>
    <dataValidation type="list" allowBlank="1" showInputMessage="1" showErrorMessage="1" sqref="B9:B48" xr:uid="{00000000-0002-0000-0000-000001000000}">
      <formula1>"ACR, BDM, CAM, CCR, CTY, CMS, DEB, GTR, GAM, KCS, MID, NVR, PGS, PROCLASS, PROCOLL, QMA, QUE, SHQ, SOP, BDR Team"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Lee Hui Ching (HLB)</dc:creator>
  <cp:lastModifiedBy>Sri Vishnu A/L Parthipan</cp:lastModifiedBy>
  <dcterms:created xsi:type="dcterms:W3CDTF">2020-10-27T08:44:57Z</dcterms:created>
  <dcterms:modified xsi:type="dcterms:W3CDTF">2025-08-27T03:33:22Z</dcterms:modified>
</cp:coreProperties>
</file>